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D:\IIT Delhi\excel projects\task tracking\"/>
    </mc:Choice>
  </mc:AlternateContent>
  <xr:revisionPtr revIDLastSave="0" documentId="13_ncr:1_{3C24CDE2-D27A-4C14-9940-9D1C22C74BC7}" xr6:coauthVersionLast="47" xr6:coauthVersionMax="47" xr10:uidLastSave="{00000000-0000-0000-0000-000000000000}"/>
  <bookViews>
    <workbookView xWindow="-108" yWindow="-108" windowWidth="23256" windowHeight="12456" tabRatio="500" firstSheet="4" activeTab="7" xr2:uid="{00000000-000D-0000-FFFF-FFFF00000000}"/>
  </bookViews>
  <sheets>
    <sheet name="Raw_Data" sheetId="1" r:id="rId1"/>
    <sheet name="Lookup_Lists" sheetId="2" r:id="rId2"/>
    <sheet name="Clean_Data" sheetId="3" r:id="rId3"/>
    <sheet name="Calc_Helper" sheetId="4" r:id="rId4"/>
    <sheet name="Workload_Analysis" sheetId="5" r:id="rId5"/>
    <sheet name="KPI_Summary" sheetId="7" r:id="rId6"/>
    <sheet name="Pivot_Tables" sheetId="9" r:id="rId7"/>
    <sheet name="Dashboard" sheetId="8" r:id="rId8"/>
    <sheet name="Pivot_Analysis" sheetId="6" r:id="rId9"/>
  </sheets>
  <definedNames>
    <definedName name="Slicer_Assigned_To">#N/A</definedName>
    <definedName name="Slicer_Department">#N/A</definedName>
    <definedName name="Slicer_Priority">#N/A</definedName>
    <definedName name="Slicer_Task_Status">#N/A</definedName>
  </definedNames>
  <calcPr calcId="181029" iterateDelta="1E-4"/>
  <pivotCaches>
    <pivotCache cacheId="25"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 i="8" l="1"/>
  <c r="G2" i="8"/>
  <c r="H78" i="8"/>
  <c r="G78" i="8"/>
  <c r="H77" i="8"/>
  <c r="G77" i="8"/>
  <c r="H76" i="8"/>
  <c r="G76" i="8"/>
  <c r="H75" i="8"/>
  <c r="G75" i="8"/>
  <c r="H74" i="8"/>
  <c r="G74" i="8"/>
  <c r="H73" i="8"/>
  <c r="G73" i="8"/>
  <c r="H72" i="8"/>
  <c r="G72" i="8"/>
  <c r="H71" i="8"/>
  <c r="G71" i="8"/>
  <c r="H70" i="8"/>
  <c r="G70" i="8"/>
  <c r="H69" i="8"/>
  <c r="G69" i="8"/>
  <c r="H68" i="8"/>
  <c r="G68" i="8"/>
  <c r="H67" i="8"/>
  <c r="G67" i="8"/>
  <c r="H66" i="8"/>
  <c r="G66" i="8"/>
  <c r="H65" i="8"/>
  <c r="G65" i="8"/>
  <c r="H64" i="8"/>
  <c r="G64" i="8"/>
  <c r="H61" i="8"/>
  <c r="H60" i="8"/>
  <c r="H59" i="8"/>
  <c r="H58" i="8"/>
  <c r="H57" i="8"/>
  <c r="H56" i="8"/>
  <c r="H55" i="8"/>
  <c r="H54" i="8"/>
  <c r="H53" i="8"/>
  <c r="H52" i="8"/>
  <c r="H51" i="8"/>
  <c r="H50" i="8"/>
  <c r="H49" i="8"/>
  <c r="H48" i="8"/>
  <c r="H47" i="8"/>
  <c r="H44" i="8"/>
  <c r="H43" i="8"/>
  <c r="H42" i="8"/>
  <c r="H41" i="8"/>
  <c r="H40" i="8"/>
  <c r="H39" i="8"/>
  <c r="H38" i="8"/>
  <c r="H37" i="8"/>
  <c r="H36" i="8"/>
  <c r="H35" i="8"/>
  <c r="H34" i="8"/>
  <c r="H33" i="8"/>
  <c r="H32" i="8"/>
  <c r="H31" i="8"/>
  <c r="H30" i="8"/>
  <c r="H27" i="8"/>
  <c r="H26" i="8"/>
  <c r="H25" i="8"/>
  <c r="H24" i="8"/>
  <c r="H21" i="8"/>
  <c r="H20" i="8"/>
  <c r="H19" i="8"/>
  <c r="H18" i="8"/>
  <c r="H17" i="8"/>
  <c r="H16" i="8"/>
  <c r="H12" i="8"/>
  <c r="H11" i="8"/>
  <c r="H10" i="8"/>
  <c r="H9" i="8"/>
  <c r="H8" i="8"/>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2" i="6"/>
  <c r="P121" i="3"/>
  <c r="N121" i="3"/>
  <c r="M121" i="3"/>
  <c r="S121" i="6" s="1"/>
  <c r="L121" i="3"/>
  <c r="K121" i="3"/>
  <c r="J121" i="3"/>
  <c r="I121" i="3"/>
  <c r="H121" i="3"/>
  <c r="G121" i="3"/>
  <c r="G121" i="6" s="1"/>
  <c r="F121" i="3"/>
  <c r="E121" i="3"/>
  <c r="E121" i="6" s="1"/>
  <c r="D121" i="3"/>
  <c r="D121" i="6" s="1"/>
  <c r="C121" i="3"/>
  <c r="C121" i="6" s="1"/>
  <c r="B121" i="3"/>
  <c r="B121" i="6" s="1"/>
  <c r="A121" i="3"/>
  <c r="P120" i="3"/>
  <c r="O120" i="3"/>
  <c r="U120" i="6" s="1"/>
  <c r="N120" i="3"/>
  <c r="M120" i="3"/>
  <c r="S120" i="6" s="1"/>
  <c r="L120" i="3"/>
  <c r="K120" i="3"/>
  <c r="J120" i="3"/>
  <c r="I120" i="3"/>
  <c r="H120" i="3"/>
  <c r="G120" i="3"/>
  <c r="G120" i="6" s="1"/>
  <c r="F120" i="3"/>
  <c r="E120" i="3"/>
  <c r="E120" i="6" s="1"/>
  <c r="D120" i="3"/>
  <c r="D120" i="6" s="1"/>
  <c r="C120" i="3"/>
  <c r="C120" i="6" s="1"/>
  <c r="B120" i="3"/>
  <c r="B120" i="6" s="1"/>
  <c r="A120" i="3"/>
  <c r="P119" i="3"/>
  <c r="N119" i="3"/>
  <c r="M119" i="3"/>
  <c r="S119" i="6" s="1"/>
  <c r="L119" i="3"/>
  <c r="K119" i="3"/>
  <c r="J119" i="3"/>
  <c r="I119" i="3"/>
  <c r="H119" i="3"/>
  <c r="G119" i="3"/>
  <c r="G119" i="6" s="1"/>
  <c r="F119" i="3"/>
  <c r="E119" i="3"/>
  <c r="E119" i="6" s="1"/>
  <c r="D119" i="3"/>
  <c r="D119" i="6" s="1"/>
  <c r="C119" i="3"/>
  <c r="C119" i="6" s="1"/>
  <c r="B119" i="3"/>
  <c r="B119" i="6" s="1"/>
  <c r="A119" i="3"/>
  <c r="P118" i="3"/>
  <c r="N118" i="3"/>
  <c r="M118" i="3"/>
  <c r="S118" i="6" s="1"/>
  <c r="L118" i="3"/>
  <c r="K118" i="3"/>
  <c r="J118" i="3"/>
  <c r="I118" i="3"/>
  <c r="H118" i="3"/>
  <c r="G118" i="3"/>
  <c r="G118" i="6" s="1"/>
  <c r="F118" i="3"/>
  <c r="E118" i="3"/>
  <c r="E118" i="6" s="1"/>
  <c r="D118" i="3"/>
  <c r="D118" i="6" s="1"/>
  <c r="C118" i="3"/>
  <c r="C118" i="6" s="1"/>
  <c r="B118" i="3"/>
  <c r="B118" i="6" s="1"/>
  <c r="A118" i="3"/>
  <c r="P117" i="3"/>
  <c r="O117" i="3"/>
  <c r="U117" i="6" s="1"/>
  <c r="N117" i="3"/>
  <c r="M117" i="3"/>
  <c r="S117" i="6" s="1"/>
  <c r="L117" i="3"/>
  <c r="K117" i="3"/>
  <c r="C117" i="4" s="1"/>
  <c r="J117" i="3"/>
  <c r="I117" i="3"/>
  <c r="H117" i="3"/>
  <c r="G117" i="3"/>
  <c r="G117" i="6" s="1"/>
  <c r="F117" i="3"/>
  <c r="E117" i="3"/>
  <c r="E117" i="6" s="1"/>
  <c r="D117" i="3"/>
  <c r="D117" i="6" s="1"/>
  <c r="C117" i="3"/>
  <c r="C117" i="6" s="1"/>
  <c r="B117" i="3"/>
  <c r="B117" i="6" s="1"/>
  <c r="A117" i="3"/>
  <c r="P116" i="3"/>
  <c r="N116" i="3"/>
  <c r="M116" i="3"/>
  <c r="S116" i="6" s="1"/>
  <c r="L116" i="3"/>
  <c r="K116" i="3"/>
  <c r="J116" i="3"/>
  <c r="I116" i="3"/>
  <c r="H116" i="3"/>
  <c r="G116" i="3"/>
  <c r="G116" i="6" s="1"/>
  <c r="F116" i="3"/>
  <c r="E116" i="3"/>
  <c r="E116" i="6" s="1"/>
  <c r="D116" i="3"/>
  <c r="D116" i="6" s="1"/>
  <c r="C116" i="3"/>
  <c r="C116" i="6" s="1"/>
  <c r="B116" i="3"/>
  <c r="B116" i="6" s="1"/>
  <c r="A116" i="3"/>
  <c r="P115" i="3"/>
  <c r="N115" i="3"/>
  <c r="M115" i="3"/>
  <c r="S115" i="6" s="1"/>
  <c r="L115" i="3"/>
  <c r="K115" i="3"/>
  <c r="J115" i="3"/>
  <c r="I115" i="3"/>
  <c r="H115" i="3"/>
  <c r="G115" i="3"/>
  <c r="G115" i="6" s="1"/>
  <c r="F115" i="3"/>
  <c r="E115" i="3"/>
  <c r="E115" i="6" s="1"/>
  <c r="D115" i="3"/>
  <c r="D115" i="6" s="1"/>
  <c r="C115" i="3"/>
  <c r="C115" i="6" s="1"/>
  <c r="B115" i="3"/>
  <c r="B115" i="6" s="1"/>
  <c r="A115" i="3"/>
  <c r="P114" i="3"/>
  <c r="O114" i="3"/>
  <c r="U114" i="6" s="1"/>
  <c r="N114" i="3"/>
  <c r="M114" i="3"/>
  <c r="S114" i="6" s="1"/>
  <c r="L114" i="3"/>
  <c r="K114" i="3"/>
  <c r="J114" i="3"/>
  <c r="I114" i="3"/>
  <c r="H114" i="3"/>
  <c r="G114" i="3"/>
  <c r="G114" i="6" s="1"/>
  <c r="F114" i="3"/>
  <c r="E114" i="3"/>
  <c r="E114" i="6" s="1"/>
  <c r="D114" i="3"/>
  <c r="D114" i="6" s="1"/>
  <c r="C114" i="3"/>
  <c r="C114" i="6" s="1"/>
  <c r="B114" i="3"/>
  <c r="B114" i="6" s="1"/>
  <c r="A114" i="3"/>
  <c r="P113" i="3"/>
  <c r="N113" i="3"/>
  <c r="M113" i="3"/>
  <c r="S113" i="6" s="1"/>
  <c r="L113" i="3"/>
  <c r="K113" i="3"/>
  <c r="J113" i="3"/>
  <c r="I113" i="3"/>
  <c r="H113" i="3"/>
  <c r="G113" i="3"/>
  <c r="G113" i="6" s="1"/>
  <c r="F113" i="3"/>
  <c r="E113" i="3"/>
  <c r="E113" i="6" s="1"/>
  <c r="D113" i="3"/>
  <c r="D113" i="6" s="1"/>
  <c r="C113" i="3"/>
  <c r="C113" i="6" s="1"/>
  <c r="B113" i="3"/>
  <c r="B113" i="6" s="1"/>
  <c r="A113" i="3"/>
  <c r="P112" i="3"/>
  <c r="N112" i="3"/>
  <c r="M112" i="3"/>
  <c r="S112" i="6" s="1"/>
  <c r="L112" i="3"/>
  <c r="K112" i="3"/>
  <c r="J112" i="3"/>
  <c r="I112" i="3"/>
  <c r="H112" i="3"/>
  <c r="G112" i="3"/>
  <c r="G112" i="6" s="1"/>
  <c r="F112" i="3"/>
  <c r="E112" i="3"/>
  <c r="E112" i="6" s="1"/>
  <c r="D112" i="3"/>
  <c r="D112" i="6" s="1"/>
  <c r="C112" i="3"/>
  <c r="C112" i="6" s="1"/>
  <c r="B112" i="3"/>
  <c r="B112" i="6" s="1"/>
  <c r="A112" i="3"/>
  <c r="P111" i="3"/>
  <c r="O111" i="3"/>
  <c r="U111" i="6" s="1"/>
  <c r="N111" i="3"/>
  <c r="M111" i="3"/>
  <c r="S111" i="6" s="1"/>
  <c r="L111" i="3"/>
  <c r="K111" i="3"/>
  <c r="J111" i="3"/>
  <c r="I111" i="3"/>
  <c r="H111" i="3"/>
  <c r="G111" i="3"/>
  <c r="G111" i="6" s="1"/>
  <c r="F111" i="3"/>
  <c r="E111" i="3"/>
  <c r="E111" i="6" s="1"/>
  <c r="D111" i="3"/>
  <c r="D111" i="6" s="1"/>
  <c r="C111" i="3"/>
  <c r="C111" i="6" s="1"/>
  <c r="B111" i="3"/>
  <c r="B111" i="6" s="1"/>
  <c r="A111" i="3"/>
  <c r="P110" i="3"/>
  <c r="N110" i="3"/>
  <c r="M110" i="3"/>
  <c r="S110" i="6" s="1"/>
  <c r="L110" i="3"/>
  <c r="K110" i="3"/>
  <c r="J110" i="3"/>
  <c r="I110" i="3"/>
  <c r="H110" i="3"/>
  <c r="G110" i="3"/>
  <c r="G110" i="6" s="1"/>
  <c r="F110" i="3"/>
  <c r="E110" i="3"/>
  <c r="E110" i="6" s="1"/>
  <c r="D110" i="3"/>
  <c r="D110" i="6" s="1"/>
  <c r="C110" i="3"/>
  <c r="C110" i="6" s="1"/>
  <c r="B110" i="3"/>
  <c r="B110" i="6" s="1"/>
  <c r="A110" i="3"/>
  <c r="P109" i="3"/>
  <c r="N109" i="3"/>
  <c r="M109" i="3"/>
  <c r="S109" i="6" s="1"/>
  <c r="L109" i="3"/>
  <c r="K109" i="3"/>
  <c r="J109" i="3"/>
  <c r="I109" i="3"/>
  <c r="H109" i="3"/>
  <c r="G109" i="3"/>
  <c r="G109" i="6" s="1"/>
  <c r="F109" i="3"/>
  <c r="E109" i="3"/>
  <c r="E109" i="6" s="1"/>
  <c r="D109" i="3"/>
  <c r="D109" i="6" s="1"/>
  <c r="C109" i="3"/>
  <c r="C109" i="6" s="1"/>
  <c r="B109" i="3"/>
  <c r="B109" i="6" s="1"/>
  <c r="A109" i="3"/>
  <c r="P108" i="3"/>
  <c r="O108" i="3"/>
  <c r="U108" i="6" s="1"/>
  <c r="N108" i="3"/>
  <c r="M108" i="3"/>
  <c r="S108" i="6" s="1"/>
  <c r="L108" i="3"/>
  <c r="R108" i="6" s="1"/>
  <c r="K108" i="3"/>
  <c r="J108" i="3"/>
  <c r="I108" i="3"/>
  <c r="H108" i="3"/>
  <c r="G108" i="3"/>
  <c r="G108" i="6" s="1"/>
  <c r="F108" i="3"/>
  <c r="E108" i="3"/>
  <c r="E108" i="6" s="1"/>
  <c r="D108" i="3"/>
  <c r="D108" i="6" s="1"/>
  <c r="C108" i="3"/>
  <c r="C108" i="6" s="1"/>
  <c r="B108" i="3"/>
  <c r="B108" i="6" s="1"/>
  <c r="A108" i="3"/>
  <c r="P107" i="3"/>
  <c r="N107" i="3"/>
  <c r="M107" i="3"/>
  <c r="S107" i="6" s="1"/>
  <c r="L107" i="3"/>
  <c r="R107" i="6" s="1"/>
  <c r="K107" i="3"/>
  <c r="B107" i="4" s="1"/>
  <c r="J107" i="3"/>
  <c r="I107" i="3"/>
  <c r="H107" i="3"/>
  <c r="G107" i="3"/>
  <c r="G107" i="6" s="1"/>
  <c r="F107" i="3"/>
  <c r="E107" i="3"/>
  <c r="E107" i="6" s="1"/>
  <c r="D107" i="3"/>
  <c r="D107" i="6" s="1"/>
  <c r="C107" i="3"/>
  <c r="C107" i="6" s="1"/>
  <c r="B107" i="3"/>
  <c r="B107" i="6" s="1"/>
  <c r="A107" i="3"/>
  <c r="P106" i="3"/>
  <c r="N106" i="3"/>
  <c r="M106" i="3"/>
  <c r="S106" i="6" s="1"/>
  <c r="L106" i="3"/>
  <c r="K106" i="3"/>
  <c r="J106" i="3"/>
  <c r="I106" i="3"/>
  <c r="H106" i="3"/>
  <c r="G106" i="3"/>
  <c r="G106" i="6" s="1"/>
  <c r="F106" i="3"/>
  <c r="E106" i="3"/>
  <c r="E106" i="6" s="1"/>
  <c r="D106" i="3"/>
  <c r="D106" i="6" s="1"/>
  <c r="C106" i="3"/>
  <c r="C106" i="6" s="1"/>
  <c r="B106" i="3"/>
  <c r="B106" i="6" s="1"/>
  <c r="A106" i="3"/>
  <c r="P105" i="3"/>
  <c r="O105" i="3"/>
  <c r="U105" i="6" s="1"/>
  <c r="N105" i="3"/>
  <c r="M105" i="3"/>
  <c r="S105" i="6" s="1"/>
  <c r="L105" i="3"/>
  <c r="K105" i="3"/>
  <c r="J105" i="3"/>
  <c r="I105" i="3"/>
  <c r="H105" i="3"/>
  <c r="G105" i="3"/>
  <c r="G105" i="6" s="1"/>
  <c r="F105" i="3"/>
  <c r="E105" i="3"/>
  <c r="E105" i="6" s="1"/>
  <c r="D105" i="3"/>
  <c r="D105" i="6" s="1"/>
  <c r="C105" i="3"/>
  <c r="C105" i="6" s="1"/>
  <c r="B105" i="3"/>
  <c r="B105" i="6" s="1"/>
  <c r="A105" i="3"/>
  <c r="P104" i="3"/>
  <c r="N104" i="3"/>
  <c r="M104" i="3"/>
  <c r="S104" i="6" s="1"/>
  <c r="L104" i="3"/>
  <c r="R104" i="6" s="1"/>
  <c r="K104" i="3"/>
  <c r="J104" i="3"/>
  <c r="I104" i="3"/>
  <c r="H104" i="3"/>
  <c r="G104" i="3"/>
  <c r="G104" i="6" s="1"/>
  <c r="F104" i="3"/>
  <c r="E104" i="3"/>
  <c r="E104" i="6" s="1"/>
  <c r="D104" i="3"/>
  <c r="D104" i="6" s="1"/>
  <c r="C104" i="3"/>
  <c r="C104" i="6" s="1"/>
  <c r="B104" i="3"/>
  <c r="B104" i="6" s="1"/>
  <c r="A104" i="3"/>
  <c r="P103" i="3"/>
  <c r="N103" i="3"/>
  <c r="M103" i="3"/>
  <c r="S103" i="6" s="1"/>
  <c r="L103" i="3"/>
  <c r="K103" i="3"/>
  <c r="J103" i="3"/>
  <c r="I103" i="3"/>
  <c r="H103" i="3"/>
  <c r="N103" i="4" s="1"/>
  <c r="Q103" i="6" s="1"/>
  <c r="G103" i="3"/>
  <c r="G103" i="6" s="1"/>
  <c r="F103" i="3"/>
  <c r="E103" i="3"/>
  <c r="E103" i="6" s="1"/>
  <c r="D103" i="3"/>
  <c r="D103" i="6" s="1"/>
  <c r="C103" i="3"/>
  <c r="C103" i="6" s="1"/>
  <c r="B103" i="3"/>
  <c r="B103" i="6" s="1"/>
  <c r="A103" i="3"/>
  <c r="P102" i="3"/>
  <c r="O102" i="3"/>
  <c r="U102" i="6" s="1"/>
  <c r="N102" i="3"/>
  <c r="M102" i="3"/>
  <c r="S102" i="6" s="1"/>
  <c r="L102" i="3"/>
  <c r="K102" i="3"/>
  <c r="J102" i="3"/>
  <c r="K102" i="4" s="1"/>
  <c r="I102" i="3"/>
  <c r="H102" i="3"/>
  <c r="G102" i="3"/>
  <c r="G102" i="6" s="1"/>
  <c r="F102" i="3"/>
  <c r="E102" i="3"/>
  <c r="E102" i="6" s="1"/>
  <c r="D102" i="3"/>
  <c r="D102" i="6" s="1"/>
  <c r="C102" i="3"/>
  <c r="C102" i="6" s="1"/>
  <c r="B102" i="3"/>
  <c r="B102" i="6" s="1"/>
  <c r="A102" i="3"/>
  <c r="P101" i="3"/>
  <c r="N101" i="3"/>
  <c r="M101" i="3"/>
  <c r="S101" i="6" s="1"/>
  <c r="L101" i="3"/>
  <c r="K101" i="3"/>
  <c r="J101" i="3"/>
  <c r="H101" i="4" s="1"/>
  <c r="Y101" i="6" s="1"/>
  <c r="I101" i="3"/>
  <c r="H101" i="3"/>
  <c r="G101" i="3"/>
  <c r="G101" i="6" s="1"/>
  <c r="F101" i="3"/>
  <c r="E101" i="3"/>
  <c r="E101" i="6" s="1"/>
  <c r="D101" i="3"/>
  <c r="D101" i="6" s="1"/>
  <c r="C101" i="3"/>
  <c r="C101" i="6" s="1"/>
  <c r="B101" i="3"/>
  <c r="B101" i="6" s="1"/>
  <c r="A101" i="3"/>
  <c r="P100" i="3"/>
  <c r="N100" i="3"/>
  <c r="M100" i="3"/>
  <c r="S100" i="6" s="1"/>
  <c r="L100" i="3"/>
  <c r="K100" i="3"/>
  <c r="J100" i="3"/>
  <c r="I100" i="3"/>
  <c r="H100" i="3"/>
  <c r="E100" i="4" s="1"/>
  <c r="V100" i="6" s="1"/>
  <c r="G100" i="3"/>
  <c r="G100" i="6" s="1"/>
  <c r="F100" i="3"/>
  <c r="E100" i="3"/>
  <c r="E100" i="6" s="1"/>
  <c r="D100" i="3"/>
  <c r="D100" i="6" s="1"/>
  <c r="C100" i="3"/>
  <c r="C100" i="6" s="1"/>
  <c r="B100" i="3"/>
  <c r="B100" i="6" s="1"/>
  <c r="A100" i="3"/>
  <c r="P99" i="3"/>
  <c r="O99" i="3"/>
  <c r="U99" i="6" s="1"/>
  <c r="N99" i="3"/>
  <c r="M99" i="3"/>
  <c r="S99" i="6" s="1"/>
  <c r="L99" i="3"/>
  <c r="K99" i="3"/>
  <c r="J99" i="3"/>
  <c r="I99" i="3"/>
  <c r="H99" i="3"/>
  <c r="N99" i="4" s="1"/>
  <c r="Q99" i="6" s="1"/>
  <c r="G99" i="3"/>
  <c r="G99" i="6" s="1"/>
  <c r="F99" i="3"/>
  <c r="E99" i="3"/>
  <c r="E99" i="6" s="1"/>
  <c r="D99" i="3"/>
  <c r="D99" i="6" s="1"/>
  <c r="C99" i="3"/>
  <c r="C99" i="6" s="1"/>
  <c r="B99" i="3"/>
  <c r="B99" i="6" s="1"/>
  <c r="A99" i="3"/>
  <c r="P98" i="3"/>
  <c r="N98" i="3"/>
  <c r="M98" i="3"/>
  <c r="S98" i="6" s="1"/>
  <c r="L98" i="3"/>
  <c r="K98" i="3"/>
  <c r="J98" i="3"/>
  <c r="I98" i="3"/>
  <c r="H98" i="3"/>
  <c r="G98" i="3"/>
  <c r="G98" i="6" s="1"/>
  <c r="F98" i="3"/>
  <c r="E98" i="3"/>
  <c r="E98" i="6" s="1"/>
  <c r="D98" i="3"/>
  <c r="D98" i="6" s="1"/>
  <c r="C98" i="3"/>
  <c r="C98" i="6" s="1"/>
  <c r="B98" i="3"/>
  <c r="B98" i="6" s="1"/>
  <c r="A98" i="3"/>
  <c r="P97" i="3"/>
  <c r="N97" i="3"/>
  <c r="M97" i="3"/>
  <c r="S97" i="6" s="1"/>
  <c r="L97" i="3"/>
  <c r="K97" i="3"/>
  <c r="J97" i="3"/>
  <c r="I97" i="3"/>
  <c r="H97" i="3"/>
  <c r="G97" i="3"/>
  <c r="G97" i="6" s="1"/>
  <c r="F97" i="3"/>
  <c r="E97" i="3"/>
  <c r="E97" i="6" s="1"/>
  <c r="D97" i="3"/>
  <c r="D97" i="6" s="1"/>
  <c r="C97" i="3"/>
  <c r="C97" i="6" s="1"/>
  <c r="B97" i="3"/>
  <c r="B97" i="6" s="1"/>
  <c r="A97" i="3"/>
  <c r="P96" i="3"/>
  <c r="N96" i="3"/>
  <c r="M96" i="3"/>
  <c r="S96" i="6" s="1"/>
  <c r="L96" i="3"/>
  <c r="K96" i="3"/>
  <c r="J96" i="3"/>
  <c r="I96" i="3"/>
  <c r="H96" i="3"/>
  <c r="E96" i="4" s="1"/>
  <c r="V96" i="6" s="1"/>
  <c r="G96" i="3"/>
  <c r="G96" i="6" s="1"/>
  <c r="F96" i="3"/>
  <c r="E96" i="3"/>
  <c r="E96" i="6" s="1"/>
  <c r="D96" i="3"/>
  <c r="D96" i="6" s="1"/>
  <c r="C96" i="3"/>
  <c r="C96" i="6" s="1"/>
  <c r="B96" i="3"/>
  <c r="B96" i="6" s="1"/>
  <c r="A96" i="3"/>
  <c r="P95" i="3"/>
  <c r="N95" i="3"/>
  <c r="M95" i="3"/>
  <c r="S95" i="6" s="1"/>
  <c r="L95" i="3"/>
  <c r="K95" i="3"/>
  <c r="B95" i="4" s="1"/>
  <c r="J95" i="3"/>
  <c r="I95" i="3"/>
  <c r="H95" i="3"/>
  <c r="G95" i="3"/>
  <c r="G95" i="6" s="1"/>
  <c r="F95" i="3"/>
  <c r="E95" i="3"/>
  <c r="E95" i="6" s="1"/>
  <c r="D95" i="3"/>
  <c r="D95" i="6" s="1"/>
  <c r="C95" i="3"/>
  <c r="C95" i="6" s="1"/>
  <c r="B95" i="3"/>
  <c r="B95" i="6" s="1"/>
  <c r="A95" i="3"/>
  <c r="P94" i="3"/>
  <c r="N94" i="3"/>
  <c r="M94" i="3"/>
  <c r="S94" i="6" s="1"/>
  <c r="L94" i="3"/>
  <c r="K94" i="3"/>
  <c r="J94" i="3"/>
  <c r="I94" i="3"/>
  <c r="H94" i="3"/>
  <c r="G94" i="3"/>
  <c r="G94" i="6" s="1"/>
  <c r="F94" i="3"/>
  <c r="E94" i="3"/>
  <c r="E94" i="6" s="1"/>
  <c r="D94" i="3"/>
  <c r="D94" i="6" s="1"/>
  <c r="C94" i="3"/>
  <c r="C94" i="6" s="1"/>
  <c r="B94" i="3"/>
  <c r="B94" i="6" s="1"/>
  <c r="A94" i="3"/>
  <c r="P93" i="3"/>
  <c r="N93" i="3"/>
  <c r="M93" i="3"/>
  <c r="S93" i="6" s="1"/>
  <c r="L93" i="3"/>
  <c r="K93" i="3"/>
  <c r="J93" i="3"/>
  <c r="H93" i="4" s="1"/>
  <c r="Y93" i="6" s="1"/>
  <c r="I93" i="3"/>
  <c r="H93" i="3"/>
  <c r="G93" i="3"/>
  <c r="G93" i="6" s="1"/>
  <c r="F93" i="3"/>
  <c r="E93" i="3"/>
  <c r="E93" i="6" s="1"/>
  <c r="D93" i="3"/>
  <c r="D93" i="6" s="1"/>
  <c r="C93" i="3"/>
  <c r="C93" i="6" s="1"/>
  <c r="B93" i="3"/>
  <c r="B93" i="6" s="1"/>
  <c r="A93" i="3"/>
  <c r="P92" i="3"/>
  <c r="N92" i="3"/>
  <c r="M92" i="3"/>
  <c r="S92" i="6" s="1"/>
  <c r="L92" i="3"/>
  <c r="K92" i="3"/>
  <c r="J92" i="3"/>
  <c r="I92" i="3"/>
  <c r="H92" i="3"/>
  <c r="G92" i="3"/>
  <c r="G92" i="6" s="1"/>
  <c r="F92" i="3"/>
  <c r="E92" i="3"/>
  <c r="E92" i="6" s="1"/>
  <c r="D92" i="3"/>
  <c r="D92" i="6" s="1"/>
  <c r="C92" i="3"/>
  <c r="C92" i="6" s="1"/>
  <c r="B92" i="3"/>
  <c r="B92" i="6" s="1"/>
  <c r="A92" i="3"/>
  <c r="P91" i="3"/>
  <c r="N91" i="3"/>
  <c r="M91" i="3"/>
  <c r="S91" i="6" s="1"/>
  <c r="L91" i="3"/>
  <c r="K91" i="3"/>
  <c r="J91" i="3"/>
  <c r="I91" i="3"/>
  <c r="H91" i="3"/>
  <c r="N91" i="4" s="1"/>
  <c r="Q91" i="6" s="1"/>
  <c r="G91" i="3"/>
  <c r="G91" i="6" s="1"/>
  <c r="F91" i="3"/>
  <c r="E91" i="3"/>
  <c r="E91" i="6" s="1"/>
  <c r="D91" i="3"/>
  <c r="D91" i="6" s="1"/>
  <c r="C91" i="3"/>
  <c r="C91" i="6" s="1"/>
  <c r="B91" i="3"/>
  <c r="B91" i="6" s="1"/>
  <c r="A91" i="3"/>
  <c r="P90" i="3"/>
  <c r="N90" i="3"/>
  <c r="M90" i="3"/>
  <c r="S90" i="6" s="1"/>
  <c r="L90" i="3"/>
  <c r="K90" i="3"/>
  <c r="J90" i="3"/>
  <c r="K90" i="4" s="1"/>
  <c r="I90" i="3"/>
  <c r="H90" i="3"/>
  <c r="G90" i="3"/>
  <c r="G90" i="6" s="1"/>
  <c r="F90" i="3"/>
  <c r="E90" i="3"/>
  <c r="E90" i="6" s="1"/>
  <c r="D90" i="3"/>
  <c r="D90" i="6" s="1"/>
  <c r="C90" i="3"/>
  <c r="C90" i="6" s="1"/>
  <c r="B90" i="3"/>
  <c r="B90" i="6" s="1"/>
  <c r="A90" i="3"/>
  <c r="P89" i="3"/>
  <c r="N89" i="3"/>
  <c r="M89" i="3"/>
  <c r="S89" i="6" s="1"/>
  <c r="L89" i="3"/>
  <c r="K89" i="3"/>
  <c r="J89" i="3"/>
  <c r="I89" i="3"/>
  <c r="H89" i="3"/>
  <c r="G89" i="3"/>
  <c r="G89" i="6" s="1"/>
  <c r="F89" i="3"/>
  <c r="E89" i="3"/>
  <c r="E89" i="6" s="1"/>
  <c r="D89" i="3"/>
  <c r="D89" i="6" s="1"/>
  <c r="C89" i="3"/>
  <c r="C89" i="6" s="1"/>
  <c r="B89" i="3"/>
  <c r="B89" i="6" s="1"/>
  <c r="A89" i="3"/>
  <c r="P88" i="3"/>
  <c r="N88" i="3"/>
  <c r="M88" i="3"/>
  <c r="S88" i="6" s="1"/>
  <c r="L88" i="3"/>
  <c r="K88" i="3"/>
  <c r="J88" i="3"/>
  <c r="I88" i="3"/>
  <c r="H88" i="3"/>
  <c r="E88" i="4" s="1"/>
  <c r="V88" i="6" s="1"/>
  <c r="G88" i="3"/>
  <c r="G88" i="6" s="1"/>
  <c r="F88" i="3"/>
  <c r="E88" i="3"/>
  <c r="E88" i="6" s="1"/>
  <c r="D88" i="3"/>
  <c r="D88" i="6" s="1"/>
  <c r="C88" i="3"/>
  <c r="C88" i="6" s="1"/>
  <c r="B88" i="3"/>
  <c r="B88" i="6" s="1"/>
  <c r="A88" i="3"/>
  <c r="P87" i="3"/>
  <c r="N87" i="3"/>
  <c r="M87" i="3"/>
  <c r="S87" i="6" s="1"/>
  <c r="L87" i="3"/>
  <c r="K87" i="3"/>
  <c r="B87" i="4" s="1"/>
  <c r="J87" i="3"/>
  <c r="I87" i="3"/>
  <c r="H87" i="3"/>
  <c r="N87" i="4" s="1"/>
  <c r="Q87" i="6" s="1"/>
  <c r="G87" i="3"/>
  <c r="G87" i="6" s="1"/>
  <c r="F87" i="3"/>
  <c r="E87" i="3"/>
  <c r="E87" i="6" s="1"/>
  <c r="D87" i="3"/>
  <c r="D87" i="6" s="1"/>
  <c r="C87" i="3"/>
  <c r="C87" i="6" s="1"/>
  <c r="B87" i="3"/>
  <c r="B87" i="6" s="1"/>
  <c r="A87" i="3"/>
  <c r="P86" i="3"/>
  <c r="N86" i="3"/>
  <c r="M86" i="3"/>
  <c r="S86" i="6" s="1"/>
  <c r="L86" i="3"/>
  <c r="K86" i="3"/>
  <c r="J86" i="3"/>
  <c r="K86" i="4" s="1"/>
  <c r="I86" i="3"/>
  <c r="H86" i="3"/>
  <c r="G86" i="3"/>
  <c r="G86" i="6" s="1"/>
  <c r="F86" i="3"/>
  <c r="E86" i="3"/>
  <c r="E86" i="6" s="1"/>
  <c r="D86" i="3"/>
  <c r="D86" i="6" s="1"/>
  <c r="C86" i="3"/>
  <c r="C86" i="6" s="1"/>
  <c r="B86" i="3"/>
  <c r="B86" i="6" s="1"/>
  <c r="A86" i="3"/>
  <c r="P85" i="3"/>
  <c r="N85" i="3"/>
  <c r="M85" i="3"/>
  <c r="S85" i="6" s="1"/>
  <c r="L85" i="3"/>
  <c r="K85" i="3"/>
  <c r="J85" i="3"/>
  <c r="I85" i="3"/>
  <c r="H85" i="3"/>
  <c r="G85" i="3"/>
  <c r="G85" i="6" s="1"/>
  <c r="F85" i="3"/>
  <c r="E85" i="3"/>
  <c r="E85" i="6" s="1"/>
  <c r="D85" i="3"/>
  <c r="D85" i="6" s="1"/>
  <c r="C85" i="3"/>
  <c r="C85" i="6" s="1"/>
  <c r="B85" i="3"/>
  <c r="B85" i="6" s="1"/>
  <c r="A85" i="3"/>
  <c r="P84" i="3"/>
  <c r="N84" i="3"/>
  <c r="M84" i="3"/>
  <c r="S84" i="6" s="1"/>
  <c r="L84" i="3"/>
  <c r="K84" i="3"/>
  <c r="J84" i="3"/>
  <c r="I84" i="3"/>
  <c r="H84" i="3"/>
  <c r="G84" i="3"/>
  <c r="G84" i="6" s="1"/>
  <c r="F84" i="3"/>
  <c r="E84" i="3"/>
  <c r="E84" i="6" s="1"/>
  <c r="D84" i="3"/>
  <c r="D84" i="6" s="1"/>
  <c r="C84" i="3"/>
  <c r="C84" i="6" s="1"/>
  <c r="B84" i="3"/>
  <c r="B84" i="6" s="1"/>
  <c r="A84" i="3"/>
  <c r="P83" i="3"/>
  <c r="N83" i="3"/>
  <c r="M83" i="3"/>
  <c r="S83" i="6" s="1"/>
  <c r="L83" i="3"/>
  <c r="K83" i="3"/>
  <c r="J83" i="3"/>
  <c r="I83" i="3"/>
  <c r="H83" i="3"/>
  <c r="G83" i="3"/>
  <c r="G83" i="6" s="1"/>
  <c r="F83" i="3"/>
  <c r="E83" i="3"/>
  <c r="E83" i="6" s="1"/>
  <c r="D83" i="3"/>
  <c r="D83" i="6" s="1"/>
  <c r="C83" i="3"/>
  <c r="C83" i="6" s="1"/>
  <c r="B83" i="3"/>
  <c r="B83" i="6" s="1"/>
  <c r="A83" i="3"/>
  <c r="P82" i="3"/>
  <c r="N82" i="3"/>
  <c r="M82" i="3"/>
  <c r="S82" i="6" s="1"/>
  <c r="L82" i="3"/>
  <c r="K82" i="3"/>
  <c r="J82" i="3"/>
  <c r="I82" i="3"/>
  <c r="H82" i="3"/>
  <c r="G82" i="3"/>
  <c r="G82" i="6" s="1"/>
  <c r="F82" i="3"/>
  <c r="E82" i="3"/>
  <c r="E82" i="6" s="1"/>
  <c r="D82" i="3"/>
  <c r="D82" i="6" s="1"/>
  <c r="C82" i="3"/>
  <c r="C82" i="6" s="1"/>
  <c r="B82" i="3"/>
  <c r="B82" i="6" s="1"/>
  <c r="A82" i="3"/>
  <c r="P81" i="3"/>
  <c r="N81" i="3"/>
  <c r="M81" i="3"/>
  <c r="S81" i="6" s="1"/>
  <c r="L81" i="3"/>
  <c r="K81" i="3"/>
  <c r="J81" i="3"/>
  <c r="H81" i="4" s="1"/>
  <c r="Y81" i="6" s="1"/>
  <c r="I81" i="3"/>
  <c r="H81" i="3"/>
  <c r="G81" i="3"/>
  <c r="G81" i="6" s="1"/>
  <c r="F81" i="3"/>
  <c r="E81" i="3"/>
  <c r="E81" i="6" s="1"/>
  <c r="D81" i="3"/>
  <c r="D81" i="6" s="1"/>
  <c r="C81" i="3"/>
  <c r="C81" i="6" s="1"/>
  <c r="B81" i="3"/>
  <c r="B81" i="6" s="1"/>
  <c r="A81" i="3"/>
  <c r="P80" i="3"/>
  <c r="N80" i="3"/>
  <c r="M80" i="3"/>
  <c r="S80" i="6" s="1"/>
  <c r="L80" i="3"/>
  <c r="K80" i="3"/>
  <c r="J80" i="3"/>
  <c r="I80" i="3"/>
  <c r="H80" i="3"/>
  <c r="E80" i="4" s="1"/>
  <c r="V80" i="6" s="1"/>
  <c r="G80" i="3"/>
  <c r="G80" i="6" s="1"/>
  <c r="F80" i="3"/>
  <c r="E80" i="3"/>
  <c r="E80" i="6" s="1"/>
  <c r="D80" i="3"/>
  <c r="D80" i="6" s="1"/>
  <c r="C80" i="3"/>
  <c r="C80" i="6" s="1"/>
  <c r="B80" i="3"/>
  <c r="B80" i="6" s="1"/>
  <c r="A80" i="3"/>
  <c r="P79" i="3"/>
  <c r="N79" i="3"/>
  <c r="M79" i="3"/>
  <c r="S79" i="6" s="1"/>
  <c r="L79" i="3"/>
  <c r="K79" i="3"/>
  <c r="B79" i="4" s="1"/>
  <c r="J79" i="3"/>
  <c r="I79" i="3"/>
  <c r="H79" i="3"/>
  <c r="N79" i="4" s="1"/>
  <c r="Q79" i="6" s="1"/>
  <c r="G79" i="3"/>
  <c r="G79" i="6" s="1"/>
  <c r="F79" i="3"/>
  <c r="E79" i="3"/>
  <c r="E79" i="6" s="1"/>
  <c r="D79" i="3"/>
  <c r="D79" i="6" s="1"/>
  <c r="C79" i="3"/>
  <c r="C79" i="6" s="1"/>
  <c r="B79" i="3"/>
  <c r="B79" i="6" s="1"/>
  <c r="A79" i="3"/>
  <c r="P78" i="3"/>
  <c r="N78" i="3"/>
  <c r="M78" i="3"/>
  <c r="S78" i="6" s="1"/>
  <c r="L78" i="3"/>
  <c r="K78" i="3"/>
  <c r="J78" i="3"/>
  <c r="I78" i="3"/>
  <c r="H78" i="3"/>
  <c r="G78" i="3"/>
  <c r="G78" i="6" s="1"/>
  <c r="F78" i="3"/>
  <c r="E78" i="3"/>
  <c r="E78" i="6" s="1"/>
  <c r="D78" i="3"/>
  <c r="D78" i="6" s="1"/>
  <c r="C78" i="3"/>
  <c r="C78" i="6" s="1"/>
  <c r="B78" i="3"/>
  <c r="B78" i="6" s="1"/>
  <c r="A78" i="3"/>
  <c r="P77" i="3"/>
  <c r="N77" i="3"/>
  <c r="M77" i="3"/>
  <c r="S77" i="6" s="1"/>
  <c r="L77" i="3"/>
  <c r="K77" i="3"/>
  <c r="J77" i="3"/>
  <c r="I77" i="3"/>
  <c r="H77" i="3"/>
  <c r="G77" i="3"/>
  <c r="G77" i="6" s="1"/>
  <c r="F77" i="3"/>
  <c r="E77" i="3"/>
  <c r="E77" i="6" s="1"/>
  <c r="D77" i="3"/>
  <c r="D77" i="6" s="1"/>
  <c r="C77" i="3"/>
  <c r="C77" i="6" s="1"/>
  <c r="B77" i="3"/>
  <c r="B77" i="6" s="1"/>
  <c r="A77" i="3"/>
  <c r="P76" i="3"/>
  <c r="N76" i="3"/>
  <c r="M76" i="3"/>
  <c r="S76" i="6" s="1"/>
  <c r="L76" i="3"/>
  <c r="K76" i="3"/>
  <c r="J76" i="3"/>
  <c r="I76" i="3"/>
  <c r="H76" i="3"/>
  <c r="E76" i="4" s="1"/>
  <c r="V76" i="6" s="1"/>
  <c r="G76" i="3"/>
  <c r="G76" i="6" s="1"/>
  <c r="F76" i="3"/>
  <c r="E76" i="3"/>
  <c r="E76" i="6" s="1"/>
  <c r="D76" i="3"/>
  <c r="D76" i="6" s="1"/>
  <c r="C76" i="3"/>
  <c r="C76" i="6" s="1"/>
  <c r="B76" i="3"/>
  <c r="B76" i="6" s="1"/>
  <c r="A76" i="3"/>
  <c r="P75" i="3"/>
  <c r="N75" i="3"/>
  <c r="M75" i="3"/>
  <c r="S75" i="6" s="1"/>
  <c r="L75" i="3"/>
  <c r="K75" i="3"/>
  <c r="B75" i="4" s="1"/>
  <c r="J75" i="3"/>
  <c r="I75" i="3"/>
  <c r="H75" i="3"/>
  <c r="N75" i="4" s="1"/>
  <c r="Q75" i="6" s="1"/>
  <c r="G75" i="3"/>
  <c r="G75" i="6" s="1"/>
  <c r="F75" i="3"/>
  <c r="E75" i="3"/>
  <c r="E75" i="6" s="1"/>
  <c r="D75" i="3"/>
  <c r="D75" i="6" s="1"/>
  <c r="C75" i="3"/>
  <c r="C75" i="6" s="1"/>
  <c r="B75" i="3"/>
  <c r="B75" i="6" s="1"/>
  <c r="A75" i="3"/>
  <c r="P74" i="3"/>
  <c r="N74" i="3"/>
  <c r="M74" i="3"/>
  <c r="S74" i="6" s="1"/>
  <c r="L74" i="3"/>
  <c r="K74" i="3"/>
  <c r="J74" i="3"/>
  <c r="K74" i="4" s="1"/>
  <c r="I74" i="3"/>
  <c r="H74" i="3"/>
  <c r="G74" i="3"/>
  <c r="G74" i="6" s="1"/>
  <c r="F74" i="3"/>
  <c r="E74" i="3"/>
  <c r="E74" i="6" s="1"/>
  <c r="D74" i="3"/>
  <c r="D74" i="6" s="1"/>
  <c r="C74" i="3"/>
  <c r="C74" i="6" s="1"/>
  <c r="B74" i="3"/>
  <c r="B74" i="6" s="1"/>
  <c r="A74" i="3"/>
  <c r="P73" i="3"/>
  <c r="N73" i="3"/>
  <c r="M73" i="3"/>
  <c r="S73" i="6" s="1"/>
  <c r="L73" i="3"/>
  <c r="K73" i="3"/>
  <c r="J73" i="3"/>
  <c r="I73" i="3"/>
  <c r="H73" i="3"/>
  <c r="G73" i="3"/>
  <c r="G73" i="6" s="1"/>
  <c r="F73" i="3"/>
  <c r="E73" i="3"/>
  <c r="E73" i="6" s="1"/>
  <c r="D73" i="3"/>
  <c r="D73" i="6" s="1"/>
  <c r="C73" i="3"/>
  <c r="C73" i="6" s="1"/>
  <c r="B73" i="3"/>
  <c r="B73" i="6" s="1"/>
  <c r="A73" i="3"/>
  <c r="P72" i="3"/>
  <c r="N72" i="3"/>
  <c r="M72" i="3"/>
  <c r="S72" i="6" s="1"/>
  <c r="L72" i="3"/>
  <c r="K72" i="3"/>
  <c r="J72" i="3"/>
  <c r="I72" i="3"/>
  <c r="H72" i="3"/>
  <c r="E72" i="4" s="1"/>
  <c r="V72" i="6" s="1"/>
  <c r="G72" i="3"/>
  <c r="G72" i="6" s="1"/>
  <c r="F72" i="3"/>
  <c r="E72" i="3"/>
  <c r="E72" i="6" s="1"/>
  <c r="D72" i="3"/>
  <c r="D72" i="6" s="1"/>
  <c r="C72" i="3"/>
  <c r="C72" i="6" s="1"/>
  <c r="B72" i="3"/>
  <c r="B72" i="6" s="1"/>
  <c r="A72" i="3"/>
  <c r="P71" i="3"/>
  <c r="N71" i="3"/>
  <c r="M71" i="3"/>
  <c r="S71" i="6" s="1"/>
  <c r="L71" i="3"/>
  <c r="K71" i="3"/>
  <c r="J71" i="3"/>
  <c r="I71" i="3"/>
  <c r="H71" i="3"/>
  <c r="G71" i="3"/>
  <c r="G71" i="6" s="1"/>
  <c r="F71" i="3"/>
  <c r="E71" i="3"/>
  <c r="E71" i="6" s="1"/>
  <c r="D71" i="3"/>
  <c r="D71" i="6" s="1"/>
  <c r="C71" i="3"/>
  <c r="C71" i="6" s="1"/>
  <c r="B71" i="3"/>
  <c r="B71" i="6" s="1"/>
  <c r="A71" i="3"/>
  <c r="P70" i="3"/>
  <c r="N70" i="3"/>
  <c r="M70" i="3"/>
  <c r="S70" i="6" s="1"/>
  <c r="L70" i="3"/>
  <c r="K70" i="3"/>
  <c r="J70" i="3"/>
  <c r="I70" i="3"/>
  <c r="H70" i="3"/>
  <c r="G70" i="3"/>
  <c r="G70" i="6" s="1"/>
  <c r="F70" i="3"/>
  <c r="E70" i="3"/>
  <c r="E70" i="6" s="1"/>
  <c r="D70" i="3"/>
  <c r="D70" i="6" s="1"/>
  <c r="C70" i="3"/>
  <c r="C70" i="6" s="1"/>
  <c r="B70" i="3"/>
  <c r="B70" i="6" s="1"/>
  <c r="A70" i="3"/>
  <c r="P69" i="3"/>
  <c r="N69" i="3"/>
  <c r="M69" i="3"/>
  <c r="S69" i="6" s="1"/>
  <c r="L69" i="3"/>
  <c r="K69" i="3"/>
  <c r="J69" i="3"/>
  <c r="H69" i="4" s="1"/>
  <c r="Y69" i="6" s="1"/>
  <c r="I69" i="3"/>
  <c r="H69" i="3"/>
  <c r="G69" i="3"/>
  <c r="G69" i="6" s="1"/>
  <c r="F69" i="3"/>
  <c r="E69" i="3"/>
  <c r="E69" i="6" s="1"/>
  <c r="D69" i="3"/>
  <c r="D69" i="6" s="1"/>
  <c r="C69" i="3"/>
  <c r="C69" i="6" s="1"/>
  <c r="B69" i="3"/>
  <c r="B69" i="6" s="1"/>
  <c r="A69" i="3"/>
  <c r="P68" i="3"/>
  <c r="N68" i="3"/>
  <c r="M68" i="3"/>
  <c r="S68" i="6" s="1"/>
  <c r="L68" i="3"/>
  <c r="K68" i="3"/>
  <c r="J68" i="3"/>
  <c r="I68" i="3"/>
  <c r="H68" i="3"/>
  <c r="G68" i="3"/>
  <c r="G68" i="6" s="1"/>
  <c r="F68" i="3"/>
  <c r="E68" i="3"/>
  <c r="E68" i="6" s="1"/>
  <c r="D68" i="3"/>
  <c r="D68" i="6" s="1"/>
  <c r="C68" i="3"/>
  <c r="C68" i="6" s="1"/>
  <c r="B68" i="3"/>
  <c r="B68" i="6" s="1"/>
  <c r="A68" i="3"/>
  <c r="P67" i="3"/>
  <c r="N67" i="3"/>
  <c r="M67" i="3"/>
  <c r="S67" i="6" s="1"/>
  <c r="L67" i="3"/>
  <c r="K67" i="3"/>
  <c r="J67" i="3"/>
  <c r="I67" i="3"/>
  <c r="H67" i="3"/>
  <c r="N67" i="4" s="1"/>
  <c r="Q67" i="6" s="1"/>
  <c r="G67" i="3"/>
  <c r="G67" i="6" s="1"/>
  <c r="F67" i="3"/>
  <c r="E67" i="3"/>
  <c r="E67" i="6" s="1"/>
  <c r="D67" i="3"/>
  <c r="D67" i="6" s="1"/>
  <c r="C67" i="3"/>
  <c r="C67" i="6" s="1"/>
  <c r="B67" i="3"/>
  <c r="B67" i="6" s="1"/>
  <c r="A67" i="3"/>
  <c r="P66" i="3"/>
  <c r="N66" i="3"/>
  <c r="M66" i="3"/>
  <c r="S66" i="6" s="1"/>
  <c r="L66" i="3"/>
  <c r="K66" i="3"/>
  <c r="J66" i="3"/>
  <c r="K66" i="4" s="1"/>
  <c r="I66" i="3"/>
  <c r="H66" i="3"/>
  <c r="G66" i="3"/>
  <c r="G66" i="6" s="1"/>
  <c r="F66" i="3"/>
  <c r="E66" i="3"/>
  <c r="E66" i="6" s="1"/>
  <c r="D66" i="3"/>
  <c r="D66" i="6" s="1"/>
  <c r="C66" i="3"/>
  <c r="C66" i="6" s="1"/>
  <c r="B66" i="3"/>
  <c r="B66" i="6" s="1"/>
  <c r="A66" i="3"/>
  <c r="P65" i="3"/>
  <c r="N65" i="3"/>
  <c r="M65" i="3"/>
  <c r="S65" i="6" s="1"/>
  <c r="L65" i="3"/>
  <c r="K65" i="3"/>
  <c r="J65" i="3"/>
  <c r="H65" i="4" s="1"/>
  <c r="Y65" i="6" s="1"/>
  <c r="I65" i="3"/>
  <c r="H65" i="3"/>
  <c r="G65" i="3"/>
  <c r="G65" i="6" s="1"/>
  <c r="F65" i="3"/>
  <c r="E65" i="3"/>
  <c r="E65" i="6" s="1"/>
  <c r="D65" i="3"/>
  <c r="D65" i="6" s="1"/>
  <c r="C65" i="3"/>
  <c r="C65" i="6" s="1"/>
  <c r="B65" i="3"/>
  <c r="B65" i="6" s="1"/>
  <c r="A65" i="3"/>
  <c r="P64" i="3"/>
  <c r="N64" i="3"/>
  <c r="M64" i="3"/>
  <c r="S64" i="6" s="1"/>
  <c r="L64" i="3"/>
  <c r="K64" i="3"/>
  <c r="J64" i="3"/>
  <c r="I64" i="3"/>
  <c r="H64" i="3"/>
  <c r="E64" i="4" s="1"/>
  <c r="V64" i="6" s="1"/>
  <c r="G64" i="3"/>
  <c r="G64" i="6" s="1"/>
  <c r="F64" i="3"/>
  <c r="E64" i="3"/>
  <c r="E64" i="6" s="1"/>
  <c r="D64" i="3"/>
  <c r="D64" i="6" s="1"/>
  <c r="C64" i="3"/>
  <c r="C64" i="6" s="1"/>
  <c r="B64" i="3"/>
  <c r="B64" i="6" s="1"/>
  <c r="A64" i="3"/>
  <c r="P63" i="3"/>
  <c r="N63" i="3"/>
  <c r="M63" i="3"/>
  <c r="S63" i="6" s="1"/>
  <c r="L63" i="3"/>
  <c r="K63" i="3"/>
  <c r="B63" i="4" s="1"/>
  <c r="J63" i="3"/>
  <c r="I63" i="3"/>
  <c r="H63" i="3"/>
  <c r="G63" i="3"/>
  <c r="G63" i="6" s="1"/>
  <c r="F63" i="3"/>
  <c r="E63" i="3"/>
  <c r="E63" i="6" s="1"/>
  <c r="D63" i="3"/>
  <c r="D63" i="6" s="1"/>
  <c r="C63" i="3"/>
  <c r="C63" i="6" s="1"/>
  <c r="B63" i="3"/>
  <c r="B63" i="6" s="1"/>
  <c r="A63" i="3"/>
  <c r="P62" i="3"/>
  <c r="N62" i="3"/>
  <c r="M62" i="3"/>
  <c r="S62" i="6" s="1"/>
  <c r="L62" i="3"/>
  <c r="K62" i="3"/>
  <c r="J62" i="3"/>
  <c r="I62" i="3"/>
  <c r="H62" i="3"/>
  <c r="G62" i="3"/>
  <c r="G62" i="6" s="1"/>
  <c r="F62" i="3"/>
  <c r="E62" i="3"/>
  <c r="E62" i="6" s="1"/>
  <c r="D62" i="3"/>
  <c r="D62" i="6" s="1"/>
  <c r="C62" i="3"/>
  <c r="C62" i="6" s="1"/>
  <c r="B62" i="3"/>
  <c r="B62" i="6" s="1"/>
  <c r="A62" i="3"/>
  <c r="P61" i="3"/>
  <c r="N61" i="3"/>
  <c r="M61" i="3"/>
  <c r="S61" i="6" s="1"/>
  <c r="L61" i="3"/>
  <c r="K61" i="3"/>
  <c r="J61" i="3"/>
  <c r="I61" i="3"/>
  <c r="H61" i="3"/>
  <c r="G61" i="3"/>
  <c r="G61" i="6" s="1"/>
  <c r="F61" i="3"/>
  <c r="E61" i="3"/>
  <c r="E61" i="6" s="1"/>
  <c r="D61" i="3"/>
  <c r="D61" i="6" s="1"/>
  <c r="C61" i="3"/>
  <c r="C61" i="6" s="1"/>
  <c r="B61" i="3"/>
  <c r="B61" i="6" s="1"/>
  <c r="A61" i="3"/>
  <c r="P60" i="3"/>
  <c r="N60" i="3"/>
  <c r="M60" i="3"/>
  <c r="S60" i="6" s="1"/>
  <c r="L60" i="3"/>
  <c r="K60" i="3"/>
  <c r="J60" i="3"/>
  <c r="I60" i="3"/>
  <c r="H60" i="3"/>
  <c r="E60" i="4" s="1"/>
  <c r="V60" i="6" s="1"/>
  <c r="G60" i="3"/>
  <c r="G60" i="6" s="1"/>
  <c r="F60" i="3"/>
  <c r="E60" i="3"/>
  <c r="E60" i="6" s="1"/>
  <c r="D60" i="3"/>
  <c r="D60" i="6" s="1"/>
  <c r="C60" i="3"/>
  <c r="C60" i="6" s="1"/>
  <c r="B60" i="3"/>
  <c r="B60" i="6" s="1"/>
  <c r="A60" i="3"/>
  <c r="P59" i="3"/>
  <c r="N59" i="3"/>
  <c r="M59" i="3"/>
  <c r="S59" i="6" s="1"/>
  <c r="L59" i="3"/>
  <c r="K59" i="3"/>
  <c r="B59" i="4" s="1"/>
  <c r="J59" i="3"/>
  <c r="I59" i="3"/>
  <c r="H59" i="3"/>
  <c r="N59" i="4" s="1"/>
  <c r="Q59" i="6" s="1"/>
  <c r="G59" i="3"/>
  <c r="G59" i="6" s="1"/>
  <c r="F59" i="3"/>
  <c r="E59" i="3"/>
  <c r="E59" i="6" s="1"/>
  <c r="D59" i="3"/>
  <c r="D59" i="6" s="1"/>
  <c r="C59" i="3"/>
  <c r="C59" i="6" s="1"/>
  <c r="B59" i="3"/>
  <c r="B59" i="6" s="1"/>
  <c r="A59" i="3"/>
  <c r="P58" i="3"/>
  <c r="N58" i="3"/>
  <c r="M58" i="3"/>
  <c r="S58" i="6" s="1"/>
  <c r="L58" i="3"/>
  <c r="K58" i="3"/>
  <c r="J58" i="3"/>
  <c r="K58" i="4" s="1"/>
  <c r="I58" i="3"/>
  <c r="H58" i="3"/>
  <c r="G58" i="3"/>
  <c r="G58" i="6" s="1"/>
  <c r="F58" i="3"/>
  <c r="E58" i="3"/>
  <c r="E58" i="6" s="1"/>
  <c r="D58" i="3"/>
  <c r="D58" i="6" s="1"/>
  <c r="C58" i="3"/>
  <c r="C58" i="6" s="1"/>
  <c r="B58" i="3"/>
  <c r="B58" i="6" s="1"/>
  <c r="A58" i="3"/>
  <c r="P57" i="3"/>
  <c r="N57" i="3"/>
  <c r="M57" i="3"/>
  <c r="S57" i="6" s="1"/>
  <c r="L57" i="3"/>
  <c r="K57" i="3"/>
  <c r="J57" i="3"/>
  <c r="I57" i="3"/>
  <c r="H57" i="3"/>
  <c r="G57" i="3"/>
  <c r="G57" i="6" s="1"/>
  <c r="F57" i="3"/>
  <c r="E57" i="3"/>
  <c r="E57" i="6" s="1"/>
  <c r="D57" i="3"/>
  <c r="D57" i="6" s="1"/>
  <c r="C57" i="3"/>
  <c r="C57" i="6" s="1"/>
  <c r="B57" i="3"/>
  <c r="B57" i="6" s="1"/>
  <c r="A57" i="3"/>
  <c r="P56" i="3"/>
  <c r="N56" i="3"/>
  <c r="M56" i="3"/>
  <c r="S56" i="6" s="1"/>
  <c r="L56" i="3"/>
  <c r="K56" i="3"/>
  <c r="J56" i="3"/>
  <c r="I56" i="3"/>
  <c r="H56" i="3"/>
  <c r="G56" i="3"/>
  <c r="G56" i="6" s="1"/>
  <c r="F56" i="3"/>
  <c r="E56" i="3"/>
  <c r="E56" i="6" s="1"/>
  <c r="D56" i="3"/>
  <c r="D56" i="6" s="1"/>
  <c r="C56" i="3"/>
  <c r="C56" i="6" s="1"/>
  <c r="B56" i="3"/>
  <c r="B56" i="6" s="1"/>
  <c r="A56" i="3"/>
  <c r="P55" i="3"/>
  <c r="N55" i="3"/>
  <c r="M55" i="3"/>
  <c r="S55" i="6" s="1"/>
  <c r="L55" i="3"/>
  <c r="K55" i="3"/>
  <c r="J55" i="3"/>
  <c r="I55" i="3"/>
  <c r="H55" i="3"/>
  <c r="N55" i="4" s="1"/>
  <c r="Q55" i="6" s="1"/>
  <c r="G55" i="3"/>
  <c r="G55" i="6" s="1"/>
  <c r="F55" i="3"/>
  <c r="E55" i="3"/>
  <c r="E55" i="6" s="1"/>
  <c r="D55" i="3"/>
  <c r="D55" i="6" s="1"/>
  <c r="C55" i="3"/>
  <c r="C55" i="6" s="1"/>
  <c r="B55" i="3"/>
  <c r="B55" i="6" s="1"/>
  <c r="A55" i="3"/>
  <c r="P54" i="3"/>
  <c r="N54" i="3"/>
  <c r="M54" i="3"/>
  <c r="S54" i="6" s="1"/>
  <c r="L54" i="3"/>
  <c r="K54" i="3"/>
  <c r="J54" i="3"/>
  <c r="K54" i="4" s="1"/>
  <c r="I54" i="3"/>
  <c r="H54" i="3"/>
  <c r="G54" i="3"/>
  <c r="G54" i="6" s="1"/>
  <c r="F54" i="3"/>
  <c r="E54" i="3"/>
  <c r="E54" i="6" s="1"/>
  <c r="D54" i="3"/>
  <c r="D54" i="6" s="1"/>
  <c r="C54" i="3"/>
  <c r="C54" i="6" s="1"/>
  <c r="B54" i="3"/>
  <c r="B54" i="6" s="1"/>
  <c r="A54" i="3"/>
  <c r="P53" i="3"/>
  <c r="N53" i="3"/>
  <c r="M53" i="3"/>
  <c r="S53" i="6" s="1"/>
  <c r="L53" i="3"/>
  <c r="K53" i="3"/>
  <c r="J53" i="3"/>
  <c r="H53" i="4" s="1"/>
  <c r="Y53" i="6" s="1"/>
  <c r="I53" i="3"/>
  <c r="H53" i="3"/>
  <c r="G53" i="3"/>
  <c r="G53" i="6" s="1"/>
  <c r="F53" i="3"/>
  <c r="E53" i="3"/>
  <c r="E53" i="6" s="1"/>
  <c r="D53" i="3"/>
  <c r="D53" i="6" s="1"/>
  <c r="C53" i="3"/>
  <c r="C53" i="6" s="1"/>
  <c r="B53" i="3"/>
  <c r="B53" i="6" s="1"/>
  <c r="A53" i="3"/>
  <c r="P52" i="3"/>
  <c r="N52" i="3"/>
  <c r="M52" i="3"/>
  <c r="S52" i="6" s="1"/>
  <c r="L52" i="3"/>
  <c r="K52" i="3"/>
  <c r="J52" i="3"/>
  <c r="I52" i="3"/>
  <c r="H52" i="3"/>
  <c r="E52" i="4" s="1"/>
  <c r="V52" i="6" s="1"/>
  <c r="G52" i="3"/>
  <c r="G52" i="6" s="1"/>
  <c r="F52" i="3"/>
  <c r="E52" i="3"/>
  <c r="E52" i="6" s="1"/>
  <c r="D52" i="3"/>
  <c r="D52" i="6" s="1"/>
  <c r="C52" i="3"/>
  <c r="C52" i="6" s="1"/>
  <c r="B52" i="3"/>
  <c r="B52" i="6" s="1"/>
  <c r="A52" i="3"/>
  <c r="P51" i="3"/>
  <c r="N51" i="3"/>
  <c r="M51" i="3"/>
  <c r="S51" i="6" s="1"/>
  <c r="L51" i="3"/>
  <c r="K51" i="3"/>
  <c r="J51" i="3"/>
  <c r="I51" i="3"/>
  <c r="H51" i="3"/>
  <c r="N51" i="4" s="1"/>
  <c r="Q51" i="6" s="1"/>
  <c r="G51" i="3"/>
  <c r="G51" i="6" s="1"/>
  <c r="F51" i="3"/>
  <c r="E51" i="3"/>
  <c r="E51" i="6" s="1"/>
  <c r="D51" i="3"/>
  <c r="D51" i="6" s="1"/>
  <c r="C51" i="3"/>
  <c r="C51" i="6" s="1"/>
  <c r="B51" i="3"/>
  <c r="B51" i="6" s="1"/>
  <c r="A51" i="3"/>
  <c r="P50" i="3"/>
  <c r="N50" i="3"/>
  <c r="M50" i="3"/>
  <c r="S50" i="6" s="1"/>
  <c r="L50" i="3"/>
  <c r="K50" i="3"/>
  <c r="J50" i="3"/>
  <c r="I50" i="3"/>
  <c r="H50" i="3"/>
  <c r="G50" i="3"/>
  <c r="G50" i="6" s="1"/>
  <c r="F50" i="3"/>
  <c r="E50" i="3"/>
  <c r="E50" i="6" s="1"/>
  <c r="D50" i="3"/>
  <c r="D50" i="6" s="1"/>
  <c r="C50" i="3"/>
  <c r="C50" i="6" s="1"/>
  <c r="B50" i="3"/>
  <c r="B50" i="6" s="1"/>
  <c r="A50" i="3"/>
  <c r="P49" i="3"/>
  <c r="N49" i="3"/>
  <c r="M49" i="3"/>
  <c r="S49" i="6" s="1"/>
  <c r="L49" i="3"/>
  <c r="K49" i="3"/>
  <c r="J49" i="3"/>
  <c r="I49" i="3"/>
  <c r="H49" i="3"/>
  <c r="G49" i="3"/>
  <c r="G49" i="6" s="1"/>
  <c r="F49" i="3"/>
  <c r="E49" i="3"/>
  <c r="E49" i="6" s="1"/>
  <c r="D49" i="3"/>
  <c r="D49" i="6" s="1"/>
  <c r="C49" i="3"/>
  <c r="C49" i="6" s="1"/>
  <c r="B49" i="3"/>
  <c r="B49" i="6" s="1"/>
  <c r="A49" i="3"/>
  <c r="P48" i="3"/>
  <c r="N48" i="3"/>
  <c r="M48" i="3"/>
  <c r="S48" i="6" s="1"/>
  <c r="L48" i="3"/>
  <c r="K48" i="3"/>
  <c r="J48" i="3"/>
  <c r="I48" i="3"/>
  <c r="H48" i="3"/>
  <c r="E48" i="4" s="1"/>
  <c r="V48" i="6" s="1"/>
  <c r="G48" i="3"/>
  <c r="G48" i="6" s="1"/>
  <c r="F48" i="3"/>
  <c r="E48" i="3"/>
  <c r="E48" i="6" s="1"/>
  <c r="D48" i="3"/>
  <c r="D48" i="6" s="1"/>
  <c r="C48" i="3"/>
  <c r="C48" i="6" s="1"/>
  <c r="B48" i="3"/>
  <c r="B48" i="6" s="1"/>
  <c r="A48" i="3"/>
  <c r="P47" i="3"/>
  <c r="N47" i="3"/>
  <c r="M47" i="3"/>
  <c r="S47" i="6" s="1"/>
  <c r="L47" i="3"/>
  <c r="K47" i="3"/>
  <c r="B47" i="4" s="1"/>
  <c r="J47" i="3"/>
  <c r="I47" i="3"/>
  <c r="H47" i="3"/>
  <c r="G47" i="3"/>
  <c r="G47" i="6" s="1"/>
  <c r="F47" i="3"/>
  <c r="E47" i="3"/>
  <c r="E47" i="6" s="1"/>
  <c r="D47" i="3"/>
  <c r="D47" i="6" s="1"/>
  <c r="C47" i="3"/>
  <c r="C47" i="6" s="1"/>
  <c r="B47" i="3"/>
  <c r="B47" i="6" s="1"/>
  <c r="A47" i="3"/>
  <c r="P46" i="3"/>
  <c r="N46" i="3"/>
  <c r="M46" i="3"/>
  <c r="S46" i="6" s="1"/>
  <c r="L46" i="3"/>
  <c r="K46" i="3"/>
  <c r="J46" i="3"/>
  <c r="I46" i="3"/>
  <c r="H46" i="3"/>
  <c r="G46" i="3"/>
  <c r="G46" i="6" s="1"/>
  <c r="F46" i="3"/>
  <c r="E46" i="3"/>
  <c r="E46" i="6" s="1"/>
  <c r="D46" i="3"/>
  <c r="D46" i="6" s="1"/>
  <c r="C46" i="3"/>
  <c r="C46" i="6" s="1"/>
  <c r="B46" i="3"/>
  <c r="B46" i="6" s="1"/>
  <c r="A46" i="3"/>
  <c r="P45" i="3"/>
  <c r="N45" i="3"/>
  <c r="M45" i="3"/>
  <c r="S45" i="6" s="1"/>
  <c r="L45" i="3"/>
  <c r="K45" i="3"/>
  <c r="J45" i="3"/>
  <c r="H45" i="4" s="1"/>
  <c r="Y45" i="6" s="1"/>
  <c r="I45" i="3"/>
  <c r="H45" i="3"/>
  <c r="G45" i="3"/>
  <c r="G45" i="6" s="1"/>
  <c r="F45" i="3"/>
  <c r="E45" i="3"/>
  <c r="E45" i="6" s="1"/>
  <c r="D45" i="3"/>
  <c r="D45" i="6" s="1"/>
  <c r="C45" i="3"/>
  <c r="C45" i="6" s="1"/>
  <c r="B45" i="3"/>
  <c r="B45" i="6" s="1"/>
  <c r="A45" i="3"/>
  <c r="P44" i="3"/>
  <c r="N44" i="3"/>
  <c r="M44" i="3"/>
  <c r="S44" i="6" s="1"/>
  <c r="L44" i="3"/>
  <c r="K44" i="3"/>
  <c r="J44" i="3"/>
  <c r="I44" i="3"/>
  <c r="H44" i="3"/>
  <c r="G44" i="3"/>
  <c r="G44" i="6" s="1"/>
  <c r="F44" i="3"/>
  <c r="E44" i="3"/>
  <c r="E44" i="6" s="1"/>
  <c r="D44" i="3"/>
  <c r="D44" i="6" s="1"/>
  <c r="C44" i="3"/>
  <c r="C44" i="6" s="1"/>
  <c r="B44" i="3"/>
  <c r="B44" i="6" s="1"/>
  <c r="A44" i="3"/>
  <c r="P43" i="3"/>
  <c r="N43" i="3"/>
  <c r="M43" i="3"/>
  <c r="S43" i="6" s="1"/>
  <c r="L43" i="3"/>
  <c r="K43" i="3"/>
  <c r="J43" i="3"/>
  <c r="I43" i="3"/>
  <c r="H43" i="3"/>
  <c r="N43" i="4" s="1"/>
  <c r="Q43" i="6" s="1"/>
  <c r="G43" i="3"/>
  <c r="G43" i="6" s="1"/>
  <c r="F43" i="3"/>
  <c r="E43" i="3"/>
  <c r="E43" i="6" s="1"/>
  <c r="D43" i="3"/>
  <c r="D43" i="6" s="1"/>
  <c r="C43" i="3"/>
  <c r="C43" i="6" s="1"/>
  <c r="B43" i="3"/>
  <c r="B43" i="6" s="1"/>
  <c r="A43" i="3"/>
  <c r="P42" i="3"/>
  <c r="N42" i="3"/>
  <c r="M42" i="3"/>
  <c r="S42" i="6" s="1"/>
  <c r="L42" i="3"/>
  <c r="K42" i="3"/>
  <c r="J42" i="3"/>
  <c r="K42" i="4" s="1"/>
  <c r="I42" i="3"/>
  <c r="H42" i="3"/>
  <c r="G42" i="3"/>
  <c r="G42" i="6" s="1"/>
  <c r="F42" i="3"/>
  <c r="E42" i="3"/>
  <c r="E42" i="6" s="1"/>
  <c r="D42" i="3"/>
  <c r="D42" i="6" s="1"/>
  <c r="C42" i="3"/>
  <c r="C42" i="6" s="1"/>
  <c r="B42" i="3"/>
  <c r="B42" i="6" s="1"/>
  <c r="A42" i="3"/>
  <c r="P41" i="3"/>
  <c r="N41" i="3"/>
  <c r="M41" i="3"/>
  <c r="S41" i="6" s="1"/>
  <c r="L41" i="3"/>
  <c r="K41" i="3"/>
  <c r="J41" i="3"/>
  <c r="I41" i="3"/>
  <c r="H41" i="3"/>
  <c r="G41" i="3"/>
  <c r="G41" i="6" s="1"/>
  <c r="F41" i="3"/>
  <c r="E41" i="3"/>
  <c r="E41" i="6" s="1"/>
  <c r="D41" i="3"/>
  <c r="D41" i="6" s="1"/>
  <c r="C41" i="3"/>
  <c r="C41" i="6" s="1"/>
  <c r="B41" i="3"/>
  <c r="B41" i="6" s="1"/>
  <c r="A41" i="3"/>
  <c r="P40" i="3"/>
  <c r="N40" i="3"/>
  <c r="M40" i="3"/>
  <c r="S40" i="6" s="1"/>
  <c r="L40" i="3"/>
  <c r="K40" i="3"/>
  <c r="J40" i="3"/>
  <c r="I40" i="3"/>
  <c r="H40" i="3"/>
  <c r="E40" i="4" s="1"/>
  <c r="V40" i="6" s="1"/>
  <c r="G40" i="3"/>
  <c r="G40" i="6" s="1"/>
  <c r="F40" i="3"/>
  <c r="E40" i="3"/>
  <c r="E40" i="6" s="1"/>
  <c r="D40" i="3"/>
  <c r="D40" i="6" s="1"/>
  <c r="C40" i="3"/>
  <c r="C40" i="6" s="1"/>
  <c r="B40" i="3"/>
  <c r="B40" i="6" s="1"/>
  <c r="A40" i="3"/>
  <c r="P39" i="3"/>
  <c r="N39" i="3"/>
  <c r="M39" i="3"/>
  <c r="S39" i="6" s="1"/>
  <c r="L39" i="3"/>
  <c r="K39" i="3"/>
  <c r="B39" i="4" s="1"/>
  <c r="J39" i="3"/>
  <c r="I39" i="3"/>
  <c r="H39" i="3"/>
  <c r="N39" i="4" s="1"/>
  <c r="Q39" i="6" s="1"/>
  <c r="G39" i="3"/>
  <c r="G39" i="6" s="1"/>
  <c r="F39" i="3"/>
  <c r="E39" i="3"/>
  <c r="E39" i="6" s="1"/>
  <c r="D39" i="3"/>
  <c r="D39" i="6" s="1"/>
  <c r="C39" i="3"/>
  <c r="C39" i="6" s="1"/>
  <c r="B39" i="3"/>
  <c r="B39" i="6" s="1"/>
  <c r="A39" i="3"/>
  <c r="P38" i="3"/>
  <c r="N38" i="3"/>
  <c r="M38" i="3"/>
  <c r="S38" i="6" s="1"/>
  <c r="L38" i="3"/>
  <c r="K38" i="3"/>
  <c r="J38" i="3"/>
  <c r="K38" i="4" s="1"/>
  <c r="I38" i="3"/>
  <c r="H38" i="3"/>
  <c r="G38" i="3"/>
  <c r="G38" i="6" s="1"/>
  <c r="F38" i="3"/>
  <c r="E38" i="3"/>
  <c r="E38" i="6" s="1"/>
  <c r="D38" i="3"/>
  <c r="D38" i="6" s="1"/>
  <c r="C38" i="3"/>
  <c r="C38" i="6" s="1"/>
  <c r="B38" i="3"/>
  <c r="B38" i="6" s="1"/>
  <c r="A38" i="3"/>
  <c r="P37" i="3"/>
  <c r="N37" i="3"/>
  <c r="M37" i="3"/>
  <c r="S37" i="6" s="1"/>
  <c r="L37" i="3"/>
  <c r="K37" i="3"/>
  <c r="J37" i="3"/>
  <c r="I37" i="3"/>
  <c r="H37" i="3"/>
  <c r="G37" i="3"/>
  <c r="G37" i="6" s="1"/>
  <c r="F37" i="3"/>
  <c r="E37" i="3"/>
  <c r="E37" i="6" s="1"/>
  <c r="D37" i="3"/>
  <c r="D37" i="6" s="1"/>
  <c r="C37" i="3"/>
  <c r="C37" i="6" s="1"/>
  <c r="B37" i="3"/>
  <c r="B37" i="6" s="1"/>
  <c r="A37" i="3"/>
  <c r="P36" i="3"/>
  <c r="N36" i="3"/>
  <c r="M36" i="3"/>
  <c r="S36" i="6" s="1"/>
  <c r="L36" i="3"/>
  <c r="K36" i="3"/>
  <c r="J36" i="3"/>
  <c r="I36" i="3"/>
  <c r="H36" i="3"/>
  <c r="G36" i="3"/>
  <c r="G36" i="6" s="1"/>
  <c r="F36" i="3"/>
  <c r="E36" i="3"/>
  <c r="E36" i="6" s="1"/>
  <c r="D36" i="3"/>
  <c r="D36" i="6" s="1"/>
  <c r="C36" i="3"/>
  <c r="C36" i="6" s="1"/>
  <c r="B36" i="3"/>
  <c r="B36" i="6" s="1"/>
  <c r="A36" i="3"/>
  <c r="P35" i="3"/>
  <c r="N35" i="3"/>
  <c r="M35" i="3"/>
  <c r="S35" i="6" s="1"/>
  <c r="L35" i="3"/>
  <c r="K35" i="3"/>
  <c r="J35" i="3"/>
  <c r="I35" i="3"/>
  <c r="H35" i="3"/>
  <c r="G35" i="3"/>
  <c r="G35" i="6" s="1"/>
  <c r="F35" i="3"/>
  <c r="E35" i="3"/>
  <c r="E35" i="6" s="1"/>
  <c r="D35" i="3"/>
  <c r="D35" i="6" s="1"/>
  <c r="C35" i="3"/>
  <c r="C35" i="6" s="1"/>
  <c r="B35" i="3"/>
  <c r="B35" i="6" s="1"/>
  <c r="A35" i="3"/>
  <c r="P34" i="3"/>
  <c r="N34" i="3"/>
  <c r="M34" i="3"/>
  <c r="S34" i="6" s="1"/>
  <c r="L34" i="3"/>
  <c r="K34" i="3"/>
  <c r="J34" i="3"/>
  <c r="I34" i="3"/>
  <c r="H34" i="3"/>
  <c r="G34" i="3"/>
  <c r="G34" i="6" s="1"/>
  <c r="F34" i="3"/>
  <c r="E34" i="3"/>
  <c r="E34" i="6" s="1"/>
  <c r="D34" i="3"/>
  <c r="D34" i="6" s="1"/>
  <c r="C34" i="3"/>
  <c r="C34" i="6" s="1"/>
  <c r="B34" i="3"/>
  <c r="B34" i="6" s="1"/>
  <c r="A34" i="3"/>
  <c r="P33" i="3"/>
  <c r="N33" i="3"/>
  <c r="M33" i="3"/>
  <c r="S33" i="6" s="1"/>
  <c r="L33" i="3"/>
  <c r="K33" i="3"/>
  <c r="J33" i="3"/>
  <c r="H33" i="4" s="1"/>
  <c r="Y33" i="6" s="1"/>
  <c r="I33" i="3"/>
  <c r="H33" i="3"/>
  <c r="G33" i="3"/>
  <c r="G33" i="6" s="1"/>
  <c r="F33" i="3"/>
  <c r="E33" i="3"/>
  <c r="E33" i="6" s="1"/>
  <c r="D33" i="3"/>
  <c r="D33" i="6" s="1"/>
  <c r="C33" i="3"/>
  <c r="C33" i="6" s="1"/>
  <c r="B33" i="3"/>
  <c r="B33" i="6" s="1"/>
  <c r="A33" i="3"/>
  <c r="P32" i="3"/>
  <c r="N32" i="3"/>
  <c r="M32" i="3"/>
  <c r="S32" i="6" s="1"/>
  <c r="L32" i="3"/>
  <c r="K32" i="3"/>
  <c r="J32" i="3"/>
  <c r="I32" i="3"/>
  <c r="H32" i="3"/>
  <c r="E32" i="4" s="1"/>
  <c r="V32" i="6" s="1"/>
  <c r="G32" i="3"/>
  <c r="G32" i="6" s="1"/>
  <c r="F32" i="3"/>
  <c r="E32" i="3"/>
  <c r="E32" i="6" s="1"/>
  <c r="D32" i="3"/>
  <c r="D32" i="6" s="1"/>
  <c r="C32" i="3"/>
  <c r="C32" i="6" s="1"/>
  <c r="B32" i="3"/>
  <c r="B32" i="6" s="1"/>
  <c r="A32" i="3"/>
  <c r="P31" i="3"/>
  <c r="N31" i="3"/>
  <c r="M31" i="3"/>
  <c r="S31" i="6" s="1"/>
  <c r="L31" i="3"/>
  <c r="K31" i="3"/>
  <c r="B31" i="4" s="1"/>
  <c r="J31" i="3"/>
  <c r="I31" i="3"/>
  <c r="H31" i="3"/>
  <c r="N31" i="4" s="1"/>
  <c r="Q31" i="6" s="1"/>
  <c r="G31" i="3"/>
  <c r="G31" i="6" s="1"/>
  <c r="F31" i="3"/>
  <c r="E31" i="3"/>
  <c r="E31" i="6" s="1"/>
  <c r="D31" i="3"/>
  <c r="D31" i="6" s="1"/>
  <c r="C31" i="3"/>
  <c r="C31" i="6" s="1"/>
  <c r="B31" i="3"/>
  <c r="B31" i="6" s="1"/>
  <c r="A31" i="3"/>
  <c r="P30" i="3"/>
  <c r="N30" i="3"/>
  <c r="M30" i="3"/>
  <c r="S30" i="6" s="1"/>
  <c r="L30" i="3"/>
  <c r="K30" i="3"/>
  <c r="B30" i="4" s="1"/>
  <c r="J30" i="3"/>
  <c r="I30" i="3"/>
  <c r="H30" i="3"/>
  <c r="G30" i="3"/>
  <c r="G30" i="6" s="1"/>
  <c r="F30" i="3"/>
  <c r="E30" i="3"/>
  <c r="E30" i="6" s="1"/>
  <c r="D30" i="3"/>
  <c r="D30" i="6" s="1"/>
  <c r="C30" i="3"/>
  <c r="C30" i="6" s="1"/>
  <c r="B30" i="3"/>
  <c r="B30" i="6" s="1"/>
  <c r="A30" i="3"/>
  <c r="A30" i="6" s="1"/>
  <c r="P29" i="3"/>
  <c r="N29" i="3"/>
  <c r="M29" i="3"/>
  <c r="S29" i="6" s="1"/>
  <c r="L29" i="3"/>
  <c r="K29" i="3"/>
  <c r="J29" i="3"/>
  <c r="K29" i="6" s="1"/>
  <c r="I29" i="3"/>
  <c r="H29" i="3"/>
  <c r="G29" i="3"/>
  <c r="G29" i="6" s="1"/>
  <c r="F29" i="3"/>
  <c r="E29" i="3"/>
  <c r="E29" i="6" s="1"/>
  <c r="D29" i="3"/>
  <c r="D29" i="6" s="1"/>
  <c r="C29" i="3"/>
  <c r="C29" i="6" s="1"/>
  <c r="B29" i="3"/>
  <c r="B29" i="6" s="1"/>
  <c r="A29" i="3"/>
  <c r="P28" i="3"/>
  <c r="N28" i="3"/>
  <c r="M28" i="3"/>
  <c r="S28" i="6" s="1"/>
  <c r="L28" i="3"/>
  <c r="K28" i="3"/>
  <c r="J28" i="3"/>
  <c r="H28" i="4" s="1"/>
  <c r="Y28" i="6" s="1"/>
  <c r="I28" i="3"/>
  <c r="H28" i="3"/>
  <c r="E28" i="4" s="1"/>
  <c r="V28" i="6" s="1"/>
  <c r="G28" i="3"/>
  <c r="G28" i="6" s="1"/>
  <c r="F28" i="3"/>
  <c r="E28" i="3"/>
  <c r="E28" i="6" s="1"/>
  <c r="D28" i="3"/>
  <c r="D28" i="6" s="1"/>
  <c r="C28" i="3"/>
  <c r="C28" i="6" s="1"/>
  <c r="B28" i="3"/>
  <c r="B28" i="6" s="1"/>
  <c r="A28" i="3"/>
  <c r="P27" i="3"/>
  <c r="N27" i="3"/>
  <c r="M27" i="3"/>
  <c r="S27" i="6" s="1"/>
  <c r="L27" i="3"/>
  <c r="K27" i="3"/>
  <c r="C27" i="4" s="1"/>
  <c r="J27" i="3"/>
  <c r="I27" i="3"/>
  <c r="D27" i="4" s="1"/>
  <c r="H27" i="3"/>
  <c r="E27" i="4" s="1"/>
  <c r="V27" i="6" s="1"/>
  <c r="G27" i="3"/>
  <c r="G27" i="6" s="1"/>
  <c r="F27" i="3"/>
  <c r="F27" i="6" s="1"/>
  <c r="E27" i="3"/>
  <c r="E27" i="6" s="1"/>
  <c r="D27" i="3"/>
  <c r="D27" i="6" s="1"/>
  <c r="C27" i="3"/>
  <c r="C27" i="6" s="1"/>
  <c r="B27" i="3"/>
  <c r="B27" i="6" s="1"/>
  <c r="A27" i="3"/>
  <c r="P26" i="3"/>
  <c r="N26" i="3"/>
  <c r="M26" i="3"/>
  <c r="S26" i="6" s="1"/>
  <c r="L26" i="3"/>
  <c r="K26" i="3"/>
  <c r="J26" i="3"/>
  <c r="I26" i="3"/>
  <c r="H26" i="3"/>
  <c r="N26" i="4" s="1"/>
  <c r="Q26" i="6" s="1"/>
  <c r="G26" i="3"/>
  <c r="G26" i="6" s="1"/>
  <c r="F26" i="3"/>
  <c r="E26" i="3"/>
  <c r="E26" i="6" s="1"/>
  <c r="D26" i="3"/>
  <c r="D26" i="6" s="1"/>
  <c r="C26" i="3"/>
  <c r="C26" i="6" s="1"/>
  <c r="B26" i="3"/>
  <c r="B26" i="6" s="1"/>
  <c r="A26" i="3"/>
  <c r="A26" i="6" s="1"/>
  <c r="P25" i="3"/>
  <c r="N25" i="3"/>
  <c r="M25" i="3"/>
  <c r="S25" i="6" s="1"/>
  <c r="L25" i="3"/>
  <c r="R25" i="6" s="1"/>
  <c r="K25" i="3"/>
  <c r="J25" i="3"/>
  <c r="K25" i="6" s="1"/>
  <c r="I25" i="3"/>
  <c r="H25" i="3"/>
  <c r="L25" i="4" s="1"/>
  <c r="O25" i="6" s="1"/>
  <c r="G25" i="3"/>
  <c r="G25" i="6" s="1"/>
  <c r="F25" i="3"/>
  <c r="E25" i="3"/>
  <c r="E25" i="6" s="1"/>
  <c r="D25" i="3"/>
  <c r="D25" i="6" s="1"/>
  <c r="C25" i="3"/>
  <c r="C25" i="6" s="1"/>
  <c r="B25" i="3"/>
  <c r="B25" i="6" s="1"/>
  <c r="A25" i="3"/>
  <c r="A25" i="6" s="1"/>
  <c r="P24" i="3"/>
  <c r="N24" i="3"/>
  <c r="M24" i="3"/>
  <c r="S24" i="6" s="1"/>
  <c r="L24" i="3"/>
  <c r="R24" i="6" s="1"/>
  <c r="K24" i="3"/>
  <c r="H24" i="6" s="1"/>
  <c r="J24" i="3"/>
  <c r="H24" i="4" s="1"/>
  <c r="Y24" i="6" s="1"/>
  <c r="I24" i="3"/>
  <c r="J24" i="6" s="1"/>
  <c r="H24" i="3"/>
  <c r="N24" i="4" s="1"/>
  <c r="Q24" i="6" s="1"/>
  <c r="G24" i="3"/>
  <c r="G24" i="6" s="1"/>
  <c r="F24" i="3"/>
  <c r="E24" i="3"/>
  <c r="E24" i="6" s="1"/>
  <c r="D24" i="3"/>
  <c r="D24" i="6" s="1"/>
  <c r="C24" i="3"/>
  <c r="C24" i="6" s="1"/>
  <c r="B24" i="3"/>
  <c r="B24" i="6" s="1"/>
  <c r="A24" i="3"/>
  <c r="P23" i="3"/>
  <c r="N23" i="3"/>
  <c r="M23" i="3"/>
  <c r="S23" i="6" s="1"/>
  <c r="L23" i="3"/>
  <c r="K23" i="3"/>
  <c r="H23" i="6" s="1"/>
  <c r="J23" i="3"/>
  <c r="K23" i="6" s="1"/>
  <c r="I23" i="3"/>
  <c r="H23" i="3"/>
  <c r="N23" i="4" s="1"/>
  <c r="Q23" i="6" s="1"/>
  <c r="G23" i="3"/>
  <c r="G23" i="6" s="1"/>
  <c r="F23" i="3"/>
  <c r="F23" i="6" s="1"/>
  <c r="E23" i="3"/>
  <c r="E23" i="6" s="1"/>
  <c r="D23" i="3"/>
  <c r="D23" i="6" s="1"/>
  <c r="C23" i="3"/>
  <c r="C23" i="6" s="1"/>
  <c r="B23" i="3"/>
  <c r="B23" i="6" s="1"/>
  <c r="A23" i="3"/>
  <c r="A23" i="6" s="1"/>
  <c r="P22" i="3"/>
  <c r="N22" i="3"/>
  <c r="M22" i="3"/>
  <c r="S22" i="6" s="1"/>
  <c r="L22" i="3"/>
  <c r="R22" i="6" s="1"/>
  <c r="K22" i="3"/>
  <c r="J22" i="3"/>
  <c r="K22" i="6" s="1"/>
  <c r="I22" i="3"/>
  <c r="J22" i="6" s="1"/>
  <c r="H22" i="3"/>
  <c r="I22" i="6" s="1"/>
  <c r="G22" i="3"/>
  <c r="G22" i="6" s="1"/>
  <c r="F22" i="3"/>
  <c r="F22" i="6" s="1"/>
  <c r="E22" i="3"/>
  <c r="E22" i="6" s="1"/>
  <c r="D22" i="3"/>
  <c r="D22" i="6" s="1"/>
  <c r="C22" i="3"/>
  <c r="C22" i="6" s="1"/>
  <c r="B22" i="3"/>
  <c r="B22" i="6" s="1"/>
  <c r="A22" i="3"/>
  <c r="A22" i="6" s="1"/>
  <c r="P21" i="3"/>
  <c r="N21" i="3"/>
  <c r="M21" i="3"/>
  <c r="S21" i="6" s="1"/>
  <c r="L21" i="3"/>
  <c r="R21" i="6" s="1"/>
  <c r="K21" i="3"/>
  <c r="R21" i="4" s="1"/>
  <c r="J21" i="3"/>
  <c r="K21" i="6" s="1"/>
  <c r="I21" i="3"/>
  <c r="J21" i="6" s="1"/>
  <c r="H21" i="3"/>
  <c r="I21" i="6" s="1"/>
  <c r="G21" i="3"/>
  <c r="G21" i="6" s="1"/>
  <c r="F21" i="3"/>
  <c r="F21" i="6" s="1"/>
  <c r="E21" i="3"/>
  <c r="E21" i="6" s="1"/>
  <c r="D21" i="3"/>
  <c r="D21" i="6" s="1"/>
  <c r="C21" i="3"/>
  <c r="C21" i="6" s="1"/>
  <c r="B21" i="3"/>
  <c r="B21" i="6" s="1"/>
  <c r="A21" i="3"/>
  <c r="A21" i="6" s="1"/>
  <c r="P20" i="3"/>
  <c r="N20" i="3"/>
  <c r="M20" i="3"/>
  <c r="S20" i="6" s="1"/>
  <c r="L20" i="3"/>
  <c r="R20" i="6" s="1"/>
  <c r="K20" i="3"/>
  <c r="H20" i="6" s="1"/>
  <c r="J20" i="3"/>
  <c r="K20" i="6" s="1"/>
  <c r="I20" i="3"/>
  <c r="J20" i="6" s="1"/>
  <c r="H20" i="3"/>
  <c r="J20" i="4" s="1"/>
  <c r="M20" i="6" s="1"/>
  <c r="G20" i="3"/>
  <c r="G20" i="6" s="1"/>
  <c r="F20" i="3"/>
  <c r="F20" i="6" s="1"/>
  <c r="E20" i="3"/>
  <c r="E20" i="6" s="1"/>
  <c r="D20" i="3"/>
  <c r="D20" i="6" s="1"/>
  <c r="C20" i="3"/>
  <c r="C20" i="6" s="1"/>
  <c r="B20" i="3"/>
  <c r="B20" i="6" s="1"/>
  <c r="A20" i="3"/>
  <c r="A20" i="6" s="1"/>
  <c r="P19" i="3"/>
  <c r="N19" i="3"/>
  <c r="M19" i="3"/>
  <c r="S19" i="6" s="1"/>
  <c r="L19" i="3"/>
  <c r="K19" i="3"/>
  <c r="H19" i="6" s="1"/>
  <c r="J19" i="3"/>
  <c r="K19" i="6" s="1"/>
  <c r="I19" i="3"/>
  <c r="H19" i="3"/>
  <c r="I19" i="6" s="1"/>
  <c r="G19" i="3"/>
  <c r="G19" i="6" s="1"/>
  <c r="F19" i="3"/>
  <c r="F19" i="6" s="1"/>
  <c r="E19" i="3"/>
  <c r="E19" i="6" s="1"/>
  <c r="D19" i="3"/>
  <c r="D19" i="6" s="1"/>
  <c r="C19" i="3"/>
  <c r="C19" i="6" s="1"/>
  <c r="B19" i="3"/>
  <c r="B19" i="6" s="1"/>
  <c r="A19" i="3"/>
  <c r="A19" i="6" s="1"/>
  <c r="P18" i="3"/>
  <c r="N18" i="3"/>
  <c r="M18" i="3"/>
  <c r="S18" i="6" s="1"/>
  <c r="L18" i="3"/>
  <c r="R18" i="6" s="1"/>
  <c r="K18" i="3"/>
  <c r="C18" i="4" s="1"/>
  <c r="J18" i="3"/>
  <c r="K18" i="6" s="1"/>
  <c r="I18" i="3"/>
  <c r="J18" i="6" s="1"/>
  <c r="H18" i="3"/>
  <c r="I18" i="6" s="1"/>
  <c r="G18" i="3"/>
  <c r="G18" i="6" s="1"/>
  <c r="F18" i="3"/>
  <c r="F18" i="6" s="1"/>
  <c r="E18" i="3"/>
  <c r="E18" i="6" s="1"/>
  <c r="D18" i="3"/>
  <c r="D18" i="6" s="1"/>
  <c r="C18" i="3"/>
  <c r="C18" i="6" s="1"/>
  <c r="B18" i="3"/>
  <c r="B18" i="6" s="1"/>
  <c r="A18" i="3"/>
  <c r="A18" i="6" s="1"/>
  <c r="P17" i="3"/>
  <c r="N17" i="3"/>
  <c r="M17" i="3"/>
  <c r="S17" i="6" s="1"/>
  <c r="L17" i="3"/>
  <c r="R17" i="6" s="1"/>
  <c r="K17" i="3"/>
  <c r="J17" i="3"/>
  <c r="K17" i="6" s="1"/>
  <c r="I17" i="3"/>
  <c r="J17" i="6" s="1"/>
  <c r="H17" i="3"/>
  <c r="I17" i="6" s="1"/>
  <c r="G17" i="3"/>
  <c r="G17" i="6" s="1"/>
  <c r="F17" i="3"/>
  <c r="F17" i="6" s="1"/>
  <c r="E17" i="3"/>
  <c r="E17" i="6" s="1"/>
  <c r="D17" i="3"/>
  <c r="D17" i="6" s="1"/>
  <c r="C17" i="3"/>
  <c r="C17" i="6" s="1"/>
  <c r="B17" i="3"/>
  <c r="B17" i="6" s="1"/>
  <c r="A17" i="3"/>
  <c r="A17" i="6" s="1"/>
  <c r="P16" i="3"/>
  <c r="N16" i="3"/>
  <c r="M16" i="3"/>
  <c r="S16" i="6" s="1"/>
  <c r="L16" i="3"/>
  <c r="R16" i="6" s="1"/>
  <c r="K16" i="3"/>
  <c r="H16" i="6" s="1"/>
  <c r="J16" i="3"/>
  <c r="K16" i="6" s="1"/>
  <c r="I16" i="3"/>
  <c r="J16" i="6" s="1"/>
  <c r="H16" i="3"/>
  <c r="M16" i="4" s="1"/>
  <c r="P16" i="6" s="1"/>
  <c r="G16" i="3"/>
  <c r="G16" i="6" s="1"/>
  <c r="F16" i="3"/>
  <c r="F16" i="6" s="1"/>
  <c r="E16" i="3"/>
  <c r="E16" i="6" s="1"/>
  <c r="D16" i="3"/>
  <c r="D16" i="6" s="1"/>
  <c r="C16" i="3"/>
  <c r="C16" i="6" s="1"/>
  <c r="B16" i="3"/>
  <c r="B16" i="6" s="1"/>
  <c r="A16" i="3"/>
  <c r="A16" i="6" s="1"/>
  <c r="P15" i="3"/>
  <c r="N15" i="3"/>
  <c r="M15" i="3"/>
  <c r="S15" i="6" s="1"/>
  <c r="L15" i="3"/>
  <c r="K15" i="3"/>
  <c r="H15" i="6" s="1"/>
  <c r="J15" i="3"/>
  <c r="K15" i="6" s="1"/>
  <c r="I15" i="3"/>
  <c r="D15" i="4" s="1"/>
  <c r="H15" i="3"/>
  <c r="I15" i="6" s="1"/>
  <c r="G15" i="3"/>
  <c r="G15" i="6" s="1"/>
  <c r="F15" i="3"/>
  <c r="F15" i="6" s="1"/>
  <c r="E15" i="3"/>
  <c r="E15" i="6" s="1"/>
  <c r="D15" i="3"/>
  <c r="D15" i="6" s="1"/>
  <c r="C15" i="3"/>
  <c r="C15" i="6" s="1"/>
  <c r="B15" i="3"/>
  <c r="B15" i="6" s="1"/>
  <c r="A15" i="3"/>
  <c r="A15" i="6" s="1"/>
  <c r="P14" i="3"/>
  <c r="N14" i="3"/>
  <c r="M14" i="3"/>
  <c r="S14" i="6" s="1"/>
  <c r="L14" i="3"/>
  <c r="R14" i="6" s="1"/>
  <c r="K14" i="3"/>
  <c r="J14" i="3"/>
  <c r="K14" i="6" s="1"/>
  <c r="I14" i="3"/>
  <c r="J14" i="6" s="1"/>
  <c r="H14" i="3"/>
  <c r="I14" i="6" s="1"/>
  <c r="G14" i="3"/>
  <c r="G14" i="6" s="1"/>
  <c r="F14" i="3"/>
  <c r="F14" i="6" s="1"/>
  <c r="E14" i="3"/>
  <c r="E14" i="6" s="1"/>
  <c r="D14" i="3"/>
  <c r="D14" i="6" s="1"/>
  <c r="C14" i="3"/>
  <c r="C14" i="6" s="1"/>
  <c r="B14" i="3"/>
  <c r="B14" i="6" s="1"/>
  <c r="A14" i="3"/>
  <c r="A14" i="6" s="1"/>
  <c r="P13" i="3"/>
  <c r="N13" i="3"/>
  <c r="M13" i="3"/>
  <c r="S13" i="6" s="1"/>
  <c r="L13" i="3"/>
  <c r="R13" i="6" s="1"/>
  <c r="K13" i="3"/>
  <c r="H13" i="6" s="1"/>
  <c r="J13" i="3"/>
  <c r="K13" i="6" s="1"/>
  <c r="I13" i="3"/>
  <c r="J13" i="6" s="1"/>
  <c r="H13" i="3"/>
  <c r="I13" i="6" s="1"/>
  <c r="G13" i="3"/>
  <c r="G13" i="6" s="1"/>
  <c r="F13" i="3"/>
  <c r="F13" i="6" s="1"/>
  <c r="E13" i="3"/>
  <c r="E13" i="6" s="1"/>
  <c r="D13" i="3"/>
  <c r="D13" i="6" s="1"/>
  <c r="C13" i="3"/>
  <c r="C13" i="6" s="1"/>
  <c r="B13" i="3"/>
  <c r="B13" i="6" s="1"/>
  <c r="A13" i="3"/>
  <c r="A13" i="6" s="1"/>
  <c r="P12" i="3"/>
  <c r="N12" i="3"/>
  <c r="M12" i="3"/>
  <c r="S12" i="6" s="1"/>
  <c r="L12" i="3"/>
  <c r="R12" i="6" s="1"/>
  <c r="K12" i="3"/>
  <c r="H12" i="6" s="1"/>
  <c r="J12" i="3"/>
  <c r="K12" i="6" s="1"/>
  <c r="I12" i="3"/>
  <c r="J12" i="6" s="1"/>
  <c r="H12" i="3"/>
  <c r="I12" i="6" s="1"/>
  <c r="G12" i="3"/>
  <c r="G12" i="6" s="1"/>
  <c r="F12" i="3"/>
  <c r="F12" i="6" s="1"/>
  <c r="E12" i="3"/>
  <c r="E12" i="6" s="1"/>
  <c r="D12" i="3"/>
  <c r="D12" i="6" s="1"/>
  <c r="C12" i="3"/>
  <c r="C12" i="6" s="1"/>
  <c r="B12" i="3"/>
  <c r="B12" i="6" s="1"/>
  <c r="A12" i="3"/>
  <c r="A12" i="6" s="1"/>
  <c r="P11" i="3"/>
  <c r="N11" i="3"/>
  <c r="M11" i="3"/>
  <c r="S11" i="6" s="1"/>
  <c r="L11" i="3"/>
  <c r="R11" i="6" s="1"/>
  <c r="K11" i="3"/>
  <c r="H11" i="6" s="1"/>
  <c r="J11" i="3"/>
  <c r="K11" i="6" s="1"/>
  <c r="I11" i="3"/>
  <c r="J11" i="6" s="1"/>
  <c r="H11" i="3"/>
  <c r="I11" i="6" s="1"/>
  <c r="G11" i="3"/>
  <c r="G11" i="6" s="1"/>
  <c r="F11" i="3"/>
  <c r="F11" i="6" s="1"/>
  <c r="E11" i="3"/>
  <c r="E11" i="6" s="1"/>
  <c r="D11" i="3"/>
  <c r="D11" i="6" s="1"/>
  <c r="C11" i="3"/>
  <c r="C11" i="6" s="1"/>
  <c r="B11" i="3"/>
  <c r="B11" i="6" s="1"/>
  <c r="A11" i="3"/>
  <c r="A11" i="6" s="1"/>
  <c r="P10" i="3"/>
  <c r="N10" i="3"/>
  <c r="M10" i="3"/>
  <c r="S10" i="6" s="1"/>
  <c r="L10" i="3"/>
  <c r="R10" i="6" s="1"/>
  <c r="K10" i="3"/>
  <c r="H10" i="6" s="1"/>
  <c r="J10" i="3"/>
  <c r="K10" i="6" s="1"/>
  <c r="I10" i="3"/>
  <c r="J10" i="6" s="1"/>
  <c r="H10" i="3"/>
  <c r="I10" i="6" s="1"/>
  <c r="G10" i="3"/>
  <c r="G10" i="6" s="1"/>
  <c r="F10" i="3"/>
  <c r="F10" i="6" s="1"/>
  <c r="E10" i="3"/>
  <c r="E10" i="6" s="1"/>
  <c r="D10" i="3"/>
  <c r="D10" i="6" s="1"/>
  <c r="C10" i="3"/>
  <c r="C10" i="6" s="1"/>
  <c r="B10" i="3"/>
  <c r="B10" i="6" s="1"/>
  <c r="A10" i="3"/>
  <c r="A10" i="6" s="1"/>
  <c r="P9" i="3"/>
  <c r="N9" i="3"/>
  <c r="M9" i="3"/>
  <c r="S9" i="6" s="1"/>
  <c r="L9" i="3"/>
  <c r="R9" i="6" s="1"/>
  <c r="K9" i="3"/>
  <c r="H9" i="6" s="1"/>
  <c r="J9" i="3"/>
  <c r="K9" i="6" s="1"/>
  <c r="I9" i="3"/>
  <c r="J9" i="6" s="1"/>
  <c r="H9" i="3"/>
  <c r="I9" i="6" s="1"/>
  <c r="G9" i="3"/>
  <c r="G9" i="6" s="1"/>
  <c r="F9" i="3"/>
  <c r="F9" i="6" s="1"/>
  <c r="E9" i="3"/>
  <c r="E9" i="6" s="1"/>
  <c r="D9" i="3"/>
  <c r="D9" i="6" s="1"/>
  <c r="C9" i="3"/>
  <c r="C9" i="6" s="1"/>
  <c r="B9" i="3"/>
  <c r="B9" i="6" s="1"/>
  <c r="A9" i="3"/>
  <c r="A9" i="6" s="1"/>
  <c r="P8" i="3"/>
  <c r="N8" i="3"/>
  <c r="M8" i="3"/>
  <c r="S8" i="6" s="1"/>
  <c r="L8" i="3"/>
  <c r="R8" i="6" s="1"/>
  <c r="K8" i="3"/>
  <c r="H8" i="6" s="1"/>
  <c r="J8" i="3"/>
  <c r="K8" i="6" s="1"/>
  <c r="I8" i="3"/>
  <c r="J8" i="6" s="1"/>
  <c r="H8" i="3"/>
  <c r="I8" i="6" s="1"/>
  <c r="G8" i="3"/>
  <c r="G8" i="6" s="1"/>
  <c r="F8" i="3"/>
  <c r="F8" i="6" s="1"/>
  <c r="E8" i="3"/>
  <c r="E8" i="6" s="1"/>
  <c r="D8" i="3"/>
  <c r="D8" i="6" s="1"/>
  <c r="C8" i="3"/>
  <c r="C8" i="6" s="1"/>
  <c r="B8" i="3"/>
  <c r="B8" i="6" s="1"/>
  <c r="A8" i="3"/>
  <c r="A8" i="6" s="1"/>
  <c r="P7" i="3"/>
  <c r="N7" i="3"/>
  <c r="M7" i="3"/>
  <c r="S7" i="6" s="1"/>
  <c r="L7" i="3"/>
  <c r="R7" i="6" s="1"/>
  <c r="K7" i="3"/>
  <c r="H7" i="6" s="1"/>
  <c r="J7" i="3"/>
  <c r="K7" i="6" s="1"/>
  <c r="I7" i="3"/>
  <c r="J7" i="6" s="1"/>
  <c r="H7" i="3"/>
  <c r="I7" i="6" s="1"/>
  <c r="G7" i="3"/>
  <c r="G7" i="6" s="1"/>
  <c r="F7" i="3"/>
  <c r="F7" i="6" s="1"/>
  <c r="E7" i="3"/>
  <c r="E7" i="6" s="1"/>
  <c r="D7" i="3"/>
  <c r="D7" i="6" s="1"/>
  <c r="C7" i="3"/>
  <c r="C7" i="6" s="1"/>
  <c r="B7" i="3"/>
  <c r="B7" i="6" s="1"/>
  <c r="A7" i="3"/>
  <c r="A7" i="6" s="1"/>
  <c r="P6" i="3"/>
  <c r="N6" i="3"/>
  <c r="M6" i="3"/>
  <c r="S6" i="6" s="1"/>
  <c r="L6" i="3"/>
  <c r="R6" i="6" s="1"/>
  <c r="K6" i="3"/>
  <c r="H6" i="6" s="1"/>
  <c r="J6" i="3"/>
  <c r="K6" i="6" s="1"/>
  <c r="I6" i="3"/>
  <c r="J6" i="6" s="1"/>
  <c r="H6" i="3"/>
  <c r="I6" i="6" s="1"/>
  <c r="G6" i="3"/>
  <c r="G6" i="6" s="1"/>
  <c r="F6" i="3"/>
  <c r="F6" i="6" s="1"/>
  <c r="E6" i="3"/>
  <c r="E6" i="6" s="1"/>
  <c r="D6" i="3"/>
  <c r="D6" i="6" s="1"/>
  <c r="C6" i="3"/>
  <c r="C6" i="6" s="1"/>
  <c r="B6" i="3"/>
  <c r="B6" i="6" s="1"/>
  <c r="A6" i="3"/>
  <c r="A6" i="6" s="1"/>
  <c r="P5" i="3"/>
  <c r="N5" i="3"/>
  <c r="M5" i="3"/>
  <c r="S5" i="6" s="1"/>
  <c r="L5" i="3"/>
  <c r="R5" i="6" s="1"/>
  <c r="K5" i="3"/>
  <c r="H5" i="6" s="1"/>
  <c r="J5" i="3"/>
  <c r="K5" i="6" s="1"/>
  <c r="I5" i="3"/>
  <c r="J5" i="6" s="1"/>
  <c r="H5" i="3"/>
  <c r="I5" i="6" s="1"/>
  <c r="G5" i="3"/>
  <c r="G5" i="6" s="1"/>
  <c r="F5" i="3"/>
  <c r="F5" i="6" s="1"/>
  <c r="E5" i="3"/>
  <c r="E5" i="6" s="1"/>
  <c r="D5" i="3"/>
  <c r="D5" i="6" s="1"/>
  <c r="C5" i="3"/>
  <c r="C5" i="6" s="1"/>
  <c r="B5" i="3"/>
  <c r="B5" i="6" s="1"/>
  <c r="A5" i="3"/>
  <c r="A5" i="6" s="1"/>
  <c r="P4" i="3"/>
  <c r="N4" i="3"/>
  <c r="M4" i="3"/>
  <c r="S4" i="6" s="1"/>
  <c r="L4" i="3"/>
  <c r="R4" i="6" s="1"/>
  <c r="K4" i="3"/>
  <c r="H4" i="6" s="1"/>
  <c r="J4" i="3"/>
  <c r="K4" i="6" s="1"/>
  <c r="I4" i="3"/>
  <c r="J4" i="6" s="1"/>
  <c r="H4" i="3"/>
  <c r="I4" i="6" s="1"/>
  <c r="G4" i="3"/>
  <c r="G4" i="6" s="1"/>
  <c r="F4" i="3"/>
  <c r="F4" i="6" s="1"/>
  <c r="E4" i="3"/>
  <c r="E4" i="6" s="1"/>
  <c r="D4" i="3"/>
  <c r="D4" i="6" s="1"/>
  <c r="C4" i="3"/>
  <c r="C4" i="6" s="1"/>
  <c r="B4" i="3"/>
  <c r="B4" i="6" s="1"/>
  <c r="A4" i="3"/>
  <c r="A4" i="6" s="1"/>
  <c r="P3" i="3"/>
  <c r="N3" i="3"/>
  <c r="M3" i="3"/>
  <c r="S3" i="6" s="1"/>
  <c r="L3" i="3"/>
  <c r="R3" i="6" s="1"/>
  <c r="K3" i="3"/>
  <c r="H3" i="6" s="1"/>
  <c r="J3" i="3"/>
  <c r="K3" i="6" s="1"/>
  <c r="I3" i="3"/>
  <c r="J3" i="6" s="1"/>
  <c r="H3" i="3"/>
  <c r="I3" i="6" s="1"/>
  <c r="G3" i="3"/>
  <c r="G3" i="6" s="1"/>
  <c r="F3" i="3"/>
  <c r="F3" i="6" s="1"/>
  <c r="E3" i="3"/>
  <c r="E3" i="6" s="1"/>
  <c r="D3" i="3"/>
  <c r="D3" i="6" s="1"/>
  <c r="C3" i="3"/>
  <c r="C3" i="6" s="1"/>
  <c r="B3" i="3"/>
  <c r="B3" i="6" s="1"/>
  <c r="A3" i="3"/>
  <c r="A3" i="6" s="1"/>
  <c r="P2" i="3"/>
  <c r="N2" i="3"/>
  <c r="M2" i="3"/>
  <c r="S2" i="6" s="1"/>
  <c r="L2" i="3"/>
  <c r="R2" i="6" s="1"/>
  <c r="K2" i="3"/>
  <c r="H2" i="6" s="1"/>
  <c r="J2" i="3"/>
  <c r="K2" i="6" s="1"/>
  <c r="I2" i="3"/>
  <c r="J2" i="6" s="1"/>
  <c r="H2" i="3"/>
  <c r="I2" i="6" s="1"/>
  <c r="G2" i="3"/>
  <c r="G2" i="6" s="1"/>
  <c r="F2" i="3"/>
  <c r="F2" i="6" s="1"/>
  <c r="E2" i="3"/>
  <c r="E2" i="6" s="1"/>
  <c r="D2" i="3"/>
  <c r="C2" i="3"/>
  <c r="C2" i="6" s="1"/>
  <c r="B2" i="3"/>
  <c r="B2" i="6" s="1"/>
  <c r="A2" i="3"/>
  <c r="A2" i="6" s="1"/>
  <c r="AE27" i="6" l="1"/>
  <c r="AD27" i="6"/>
  <c r="O27" i="4"/>
  <c r="AE15" i="6"/>
  <c r="AD15" i="6"/>
  <c r="O15" i="4"/>
  <c r="AC27" i="6"/>
  <c r="AB27" i="6"/>
  <c r="AA47" i="6"/>
  <c r="Z47" i="6"/>
  <c r="T47" i="4"/>
  <c r="S47" i="4"/>
  <c r="G47" i="4"/>
  <c r="X47" i="6" s="1"/>
  <c r="F47" i="4"/>
  <c r="W47" i="6" s="1"/>
  <c r="AA75" i="6"/>
  <c r="Z75" i="6"/>
  <c r="T75" i="4"/>
  <c r="S75" i="4"/>
  <c r="G75" i="4"/>
  <c r="X75" i="6" s="1"/>
  <c r="F75" i="4"/>
  <c r="W75" i="6" s="1"/>
  <c r="Z87" i="6"/>
  <c r="AA87" i="6"/>
  <c r="T87" i="4"/>
  <c r="S87" i="4"/>
  <c r="G87" i="4"/>
  <c r="X87" i="6" s="1"/>
  <c r="F87" i="4"/>
  <c r="W87" i="6" s="1"/>
  <c r="AA95" i="6"/>
  <c r="Z95" i="6"/>
  <c r="T95" i="4"/>
  <c r="S95" i="4"/>
  <c r="G95" i="4"/>
  <c r="X95" i="6" s="1"/>
  <c r="F95" i="4"/>
  <c r="W95" i="6" s="1"/>
  <c r="AB117" i="6"/>
  <c r="AC117" i="6"/>
  <c r="AA39" i="6"/>
  <c r="Z39" i="6"/>
  <c r="T39" i="4"/>
  <c r="S39" i="4"/>
  <c r="G39" i="4"/>
  <c r="X39" i="6" s="1"/>
  <c r="F39" i="4"/>
  <c r="W39" i="6" s="1"/>
  <c r="AA63" i="6"/>
  <c r="Z63" i="6"/>
  <c r="T63" i="4"/>
  <c r="S63" i="4"/>
  <c r="G63" i="4"/>
  <c r="X63" i="6" s="1"/>
  <c r="F63" i="4"/>
  <c r="W63" i="6" s="1"/>
  <c r="AC18" i="6"/>
  <c r="AB18" i="6"/>
  <c r="AA31" i="6"/>
  <c r="Z31" i="6"/>
  <c r="T31" i="4"/>
  <c r="S31" i="4"/>
  <c r="G31" i="4"/>
  <c r="X31" i="6" s="1"/>
  <c r="F31" i="4"/>
  <c r="W31" i="6" s="1"/>
  <c r="AA59" i="6"/>
  <c r="Z59" i="6"/>
  <c r="T59" i="4"/>
  <c r="S59" i="4"/>
  <c r="G59" i="4"/>
  <c r="X59" i="6" s="1"/>
  <c r="F59" i="4"/>
  <c r="W59" i="6" s="1"/>
  <c r="AA79" i="6"/>
  <c r="Z79" i="6"/>
  <c r="T79" i="4"/>
  <c r="S79" i="4"/>
  <c r="G79" i="4"/>
  <c r="X79" i="6" s="1"/>
  <c r="F79" i="4"/>
  <c r="W79" i="6" s="1"/>
  <c r="Z107" i="6"/>
  <c r="AA107" i="6"/>
  <c r="T107" i="4"/>
  <c r="S107" i="4"/>
  <c r="G107" i="4"/>
  <c r="X107" i="6" s="1"/>
  <c r="F107" i="4"/>
  <c r="W107" i="6" s="1"/>
  <c r="AM21" i="6"/>
  <c r="AL21" i="6"/>
  <c r="AA30" i="6"/>
  <c r="Z30" i="6"/>
  <c r="T30" i="4"/>
  <c r="S30" i="4"/>
  <c r="G30" i="4"/>
  <c r="X30" i="6" s="1"/>
  <c r="F30" i="4"/>
  <c r="W30" i="6" s="1"/>
  <c r="J19" i="6"/>
  <c r="I19" i="4"/>
  <c r="L19" i="6" s="1"/>
  <c r="A24" i="6"/>
  <c r="A24" i="4"/>
  <c r="J25" i="6"/>
  <c r="D25" i="4"/>
  <c r="Q25" i="4" s="1"/>
  <c r="A27" i="6"/>
  <c r="A27" i="4"/>
  <c r="J28" i="6"/>
  <c r="D28" i="4"/>
  <c r="I28" i="4"/>
  <c r="L28" i="6" s="1"/>
  <c r="J31" i="6"/>
  <c r="I31" i="4"/>
  <c r="L31" i="6" s="1"/>
  <c r="D31" i="4"/>
  <c r="Q31" i="4" s="1"/>
  <c r="A33" i="6"/>
  <c r="A33" i="4"/>
  <c r="J34" i="6"/>
  <c r="I34" i="4"/>
  <c r="L34" i="6" s="1"/>
  <c r="D34" i="4"/>
  <c r="Q34" i="4" s="1"/>
  <c r="A36" i="6"/>
  <c r="A36" i="4"/>
  <c r="J37" i="6"/>
  <c r="D37" i="4"/>
  <c r="Q37" i="4" s="1"/>
  <c r="I37" i="4"/>
  <c r="L37" i="6" s="1"/>
  <c r="A39" i="6"/>
  <c r="A39" i="4"/>
  <c r="J40" i="6"/>
  <c r="D40" i="4"/>
  <c r="I40" i="4"/>
  <c r="L40" i="6" s="1"/>
  <c r="A42" i="6"/>
  <c r="A42" i="4"/>
  <c r="J43" i="6"/>
  <c r="I43" i="4"/>
  <c r="L43" i="6" s="1"/>
  <c r="D43" i="4"/>
  <c r="Q43" i="4" s="1"/>
  <c r="A45" i="6"/>
  <c r="A45" i="4"/>
  <c r="J46" i="6"/>
  <c r="I46" i="4"/>
  <c r="L46" i="6" s="1"/>
  <c r="D46" i="4"/>
  <c r="Q46" i="4" s="1"/>
  <c r="A48" i="6"/>
  <c r="A48" i="4"/>
  <c r="J49" i="6"/>
  <c r="D49" i="4"/>
  <c r="Q49" i="4" s="1"/>
  <c r="I49" i="4"/>
  <c r="L49" i="6" s="1"/>
  <c r="A51" i="6"/>
  <c r="A51" i="4"/>
  <c r="J52" i="6"/>
  <c r="D52" i="4"/>
  <c r="Q52" i="4" s="1"/>
  <c r="I52" i="4"/>
  <c r="L52" i="6" s="1"/>
  <c r="A54" i="6"/>
  <c r="A54" i="4"/>
  <c r="J55" i="6"/>
  <c r="I55" i="4"/>
  <c r="L55" i="6" s="1"/>
  <c r="D55" i="4"/>
  <c r="Q55" i="4" s="1"/>
  <c r="A57" i="6"/>
  <c r="A57" i="4"/>
  <c r="J58" i="6"/>
  <c r="I58" i="4"/>
  <c r="L58" i="6" s="1"/>
  <c r="D58" i="4"/>
  <c r="Q58" i="4" s="1"/>
  <c r="A60" i="6"/>
  <c r="A60" i="4"/>
  <c r="J61" i="6"/>
  <c r="D61" i="4"/>
  <c r="Q61" i="4" s="1"/>
  <c r="I61" i="4"/>
  <c r="L61" i="6" s="1"/>
  <c r="A63" i="6"/>
  <c r="A63" i="4"/>
  <c r="J64" i="6"/>
  <c r="D64" i="4"/>
  <c r="Q64" i="4" s="1"/>
  <c r="I64" i="4"/>
  <c r="L64" i="6" s="1"/>
  <c r="A66" i="6"/>
  <c r="A66" i="4"/>
  <c r="J67" i="6"/>
  <c r="I67" i="4"/>
  <c r="L67" i="6" s="1"/>
  <c r="D67" i="4"/>
  <c r="Q67" i="4" s="1"/>
  <c r="A69" i="6"/>
  <c r="A69" i="4"/>
  <c r="J70" i="6"/>
  <c r="I70" i="4"/>
  <c r="L70" i="6" s="1"/>
  <c r="D70" i="4"/>
  <c r="Q70" i="4" s="1"/>
  <c r="A72" i="6"/>
  <c r="A72" i="4"/>
  <c r="J73" i="6"/>
  <c r="D73" i="4"/>
  <c r="Q73" i="4" s="1"/>
  <c r="I73" i="4"/>
  <c r="L73" i="6" s="1"/>
  <c r="A75" i="6"/>
  <c r="A75" i="4"/>
  <c r="J76" i="6"/>
  <c r="D76" i="4"/>
  <c r="I76" i="4"/>
  <c r="L76" i="6" s="1"/>
  <c r="A78" i="6"/>
  <c r="A78" i="4"/>
  <c r="J79" i="6"/>
  <c r="I79" i="4"/>
  <c r="L79" i="6" s="1"/>
  <c r="D79" i="4"/>
  <c r="Q79" i="4" s="1"/>
  <c r="A81" i="6"/>
  <c r="A81" i="4"/>
  <c r="J82" i="6"/>
  <c r="I82" i="4"/>
  <c r="L82" i="6" s="1"/>
  <c r="D82" i="4"/>
  <c r="Q82" i="4" s="1"/>
  <c r="A84" i="6"/>
  <c r="A84" i="4"/>
  <c r="J85" i="6"/>
  <c r="D85" i="4"/>
  <c r="Q85" i="4" s="1"/>
  <c r="I85" i="4"/>
  <c r="L85" i="6" s="1"/>
  <c r="A87" i="6"/>
  <c r="A87" i="4"/>
  <c r="J88" i="6"/>
  <c r="D88" i="4"/>
  <c r="Q88" i="4" s="1"/>
  <c r="I88" i="4"/>
  <c r="L88" i="6" s="1"/>
  <c r="A90" i="6"/>
  <c r="A90" i="4"/>
  <c r="J91" i="6"/>
  <c r="I91" i="4"/>
  <c r="L91" i="6" s="1"/>
  <c r="D91" i="4"/>
  <c r="Q91" i="4" s="1"/>
  <c r="A93" i="6"/>
  <c r="A93" i="4"/>
  <c r="J94" i="6"/>
  <c r="I94" i="4"/>
  <c r="L94" i="6" s="1"/>
  <c r="D94" i="4"/>
  <c r="Q94" i="4" s="1"/>
  <c r="A96" i="6"/>
  <c r="A96" i="4"/>
  <c r="J97" i="6"/>
  <c r="D97" i="4"/>
  <c r="I97" i="4"/>
  <c r="L97" i="6" s="1"/>
  <c r="A99" i="6"/>
  <c r="A99" i="4"/>
  <c r="J100" i="6"/>
  <c r="D100" i="4"/>
  <c r="Q100" i="4" s="1"/>
  <c r="I100" i="4"/>
  <c r="L100" i="6" s="1"/>
  <c r="A102" i="6"/>
  <c r="A102" i="4"/>
  <c r="J103" i="6"/>
  <c r="I103" i="4"/>
  <c r="L103" i="6" s="1"/>
  <c r="D103" i="4"/>
  <c r="Q103" i="4" s="1"/>
  <c r="A105" i="6"/>
  <c r="A105" i="4"/>
  <c r="J106" i="6"/>
  <c r="I106" i="4"/>
  <c r="L106" i="6" s="1"/>
  <c r="D106" i="4"/>
  <c r="Q106" i="4" s="1"/>
  <c r="A108" i="6"/>
  <c r="A108" i="4"/>
  <c r="J109" i="6"/>
  <c r="I109" i="4"/>
  <c r="L109" i="6" s="1"/>
  <c r="D109" i="4"/>
  <c r="Q109" i="4" s="1"/>
  <c r="A111" i="6"/>
  <c r="A111" i="4"/>
  <c r="J112" i="6"/>
  <c r="D112" i="4"/>
  <c r="Q112" i="4" s="1"/>
  <c r="I112" i="4"/>
  <c r="L112" i="6" s="1"/>
  <c r="A114" i="6"/>
  <c r="A114" i="4"/>
  <c r="J115" i="6"/>
  <c r="D115" i="4"/>
  <c r="Q115" i="4" s="1"/>
  <c r="I115" i="4"/>
  <c r="L115" i="6" s="1"/>
  <c r="A117" i="6"/>
  <c r="A117" i="4"/>
  <c r="J118" i="6"/>
  <c r="I118" i="4"/>
  <c r="L118" i="6" s="1"/>
  <c r="D118" i="4"/>
  <c r="Q118" i="4" s="1"/>
  <c r="A120" i="6"/>
  <c r="A120" i="4"/>
  <c r="J121" i="6"/>
  <c r="I121" i="4"/>
  <c r="L121" i="6" s="1"/>
  <c r="D121" i="4"/>
  <c r="Q121" i="4" s="1"/>
  <c r="E2" i="4"/>
  <c r="V2" i="6" s="1"/>
  <c r="H3" i="4"/>
  <c r="Y3" i="6" s="1"/>
  <c r="K4" i="4"/>
  <c r="B5" i="4"/>
  <c r="N5" i="4"/>
  <c r="Q5" i="6" s="1"/>
  <c r="E6" i="4"/>
  <c r="V6" i="6" s="1"/>
  <c r="H7" i="4"/>
  <c r="Y7" i="6" s="1"/>
  <c r="K8" i="4"/>
  <c r="B9" i="4"/>
  <c r="N9" i="4"/>
  <c r="Q9" i="6" s="1"/>
  <c r="E10" i="4"/>
  <c r="V10" i="6" s="1"/>
  <c r="H11" i="4"/>
  <c r="Y11" i="6" s="1"/>
  <c r="K12" i="4"/>
  <c r="B13" i="4"/>
  <c r="N13" i="4"/>
  <c r="Q13" i="6" s="1"/>
  <c r="E14" i="4"/>
  <c r="V14" i="6" s="1"/>
  <c r="J15" i="4"/>
  <c r="M15" i="6" s="1"/>
  <c r="B16" i="4"/>
  <c r="L18" i="4"/>
  <c r="O18" i="6" s="1"/>
  <c r="D19" i="4"/>
  <c r="Q19" i="4" s="1"/>
  <c r="I20" i="4"/>
  <c r="L20" i="6" s="1"/>
  <c r="A21" i="4"/>
  <c r="N21" i="4"/>
  <c r="Q21" i="6" s="1"/>
  <c r="M23" i="4"/>
  <c r="P23" i="6" s="1"/>
  <c r="A25" i="4"/>
  <c r="L26" i="4"/>
  <c r="O26" i="6" s="1"/>
  <c r="F26" i="6"/>
  <c r="K28" i="6"/>
  <c r="K28" i="4"/>
  <c r="F29" i="6"/>
  <c r="K31" i="6"/>
  <c r="K31" i="4"/>
  <c r="H31" i="4"/>
  <c r="Y31" i="6" s="1"/>
  <c r="F32" i="6"/>
  <c r="K34" i="6"/>
  <c r="H34" i="4"/>
  <c r="Y34" i="6" s="1"/>
  <c r="F35" i="6"/>
  <c r="K37" i="6"/>
  <c r="K37" i="4"/>
  <c r="F38" i="6"/>
  <c r="K40" i="6"/>
  <c r="K40" i="4"/>
  <c r="H40" i="4"/>
  <c r="Y40" i="6" s="1"/>
  <c r="F41" i="6"/>
  <c r="K43" i="6"/>
  <c r="K43" i="4"/>
  <c r="H43" i="4"/>
  <c r="Y43" i="6" s="1"/>
  <c r="F44" i="6"/>
  <c r="K46" i="6"/>
  <c r="H46" i="4"/>
  <c r="Y46" i="6" s="1"/>
  <c r="F47" i="6"/>
  <c r="K49" i="6"/>
  <c r="K49" i="4"/>
  <c r="F50" i="6"/>
  <c r="K52" i="6"/>
  <c r="K52" i="4"/>
  <c r="H52" i="4"/>
  <c r="Y52" i="6" s="1"/>
  <c r="F53" i="6"/>
  <c r="K55" i="6"/>
  <c r="K55" i="4"/>
  <c r="H55" i="4"/>
  <c r="Y55" i="6" s="1"/>
  <c r="F56" i="6"/>
  <c r="K58" i="6"/>
  <c r="H58" i="4"/>
  <c r="Y58" i="6" s="1"/>
  <c r="F59" i="6"/>
  <c r="K61" i="6"/>
  <c r="K61" i="4"/>
  <c r="F62" i="6"/>
  <c r="K64" i="6"/>
  <c r="K64" i="4"/>
  <c r="H64" i="4"/>
  <c r="Y64" i="6" s="1"/>
  <c r="F65" i="6"/>
  <c r="K67" i="6"/>
  <c r="K67" i="4"/>
  <c r="H67" i="4"/>
  <c r="Y67" i="6" s="1"/>
  <c r="F68" i="6"/>
  <c r="K70" i="6"/>
  <c r="H70" i="4"/>
  <c r="Y70" i="6" s="1"/>
  <c r="F71" i="6"/>
  <c r="P71" i="4"/>
  <c r="K73" i="6"/>
  <c r="K73" i="4"/>
  <c r="F74" i="6"/>
  <c r="K76" i="6"/>
  <c r="K76" i="4"/>
  <c r="H76" i="4"/>
  <c r="Y76" i="6" s="1"/>
  <c r="F77" i="6"/>
  <c r="K79" i="6"/>
  <c r="K79" i="4"/>
  <c r="H79" i="4"/>
  <c r="Y79" i="6" s="1"/>
  <c r="F80" i="6"/>
  <c r="K82" i="6"/>
  <c r="H82" i="4"/>
  <c r="Y82" i="6" s="1"/>
  <c r="F83" i="6"/>
  <c r="K85" i="6"/>
  <c r="K85" i="4"/>
  <c r="F86" i="6"/>
  <c r="K88" i="6"/>
  <c r="K88" i="4"/>
  <c r="H88" i="4"/>
  <c r="Y88" i="6" s="1"/>
  <c r="F89" i="6"/>
  <c r="K91" i="6"/>
  <c r="K91" i="4"/>
  <c r="H91" i="4"/>
  <c r="Y91" i="6" s="1"/>
  <c r="F92" i="6"/>
  <c r="K94" i="6"/>
  <c r="H94" i="4"/>
  <c r="Y94" i="6" s="1"/>
  <c r="F95" i="6"/>
  <c r="K97" i="6"/>
  <c r="K97" i="4"/>
  <c r="F98" i="6"/>
  <c r="K100" i="6"/>
  <c r="K100" i="4"/>
  <c r="H100" i="4"/>
  <c r="Y100" i="6" s="1"/>
  <c r="F101" i="6"/>
  <c r="K103" i="6"/>
  <c r="K103" i="4"/>
  <c r="H103" i="4"/>
  <c r="Y103" i="6" s="1"/>
  <c r="F104" i="6"/>
  <c r="K106" i="6"/>
  <c r="K106" i="4"/>
  <c r="F107" i="6"/>
  <c r="K109" i="6"/>
  <c r="H109" i="4"/>
  <c r="Y109" i="6" s="1"/>
  <c r="K109" i="4"/>
  <c r="F110" i="6"/>
  <c r="K112" i="6"/>
  <c r="K112" i="4"/>
  <c r="H112" i="4"/>
  <c r="Y112" i="6" s="1"/>
  <c r="F113" i="6"/>
  <c r="K115" i="6"/>
  <c r="K115" i="4"/>
  <c r="H115" i="4"/>
  <c r="Y115" i="6" s="1"/>
  <c r="F116" i="6"/>
  <c r="K118" i="6"/>
  <c r="K118" i="4"/>
  <c r="H118" i="4"/>
  <c r="Y118" i="6" s="1"/>
  <c r="F119" i="6"/>
  <c r="K121" i="6"/>
  <c r="H121" i="4"/>
  <c r="Y121" i="6" s="1"/>
  <c r="K121" i="4"/>
  <c r="R2" i="4"/>
  <c r="I3" i="4"/>
  <c r="L3" i="6" s="1"/>
  <c r="U3" i="4"/>
  <c r="L4" i="4"/>
  <c r="O4" i="6" s="1"/>
  <c r="C5" i="4"/>
  <c r="P5" i="4" s="1"/>
  <c r="R6" i="4"/>
  <c r="I7" i="4"/>
  <c r="L7" i="6" s="1"/>
  <c r="U7" i="4"/>
  <c r="L8" i="4"/>
  <c r="O8" i="6" s="1"/>
  <c r="C9" i="4"/>
  <c r="R10" i="4"/>
  <c r="I11" i="4"/>
  <c r="L11" i="6" s="1"/>
  <c r="U11" i="4"/>
  <c r="L12" i="4"/>
  <c r="O12" i="6" s="1"/>
  <c r="C13" i="4"/>
  <c r="K15" i="4"/>
  <c r="C16" i="4"/>
  <c r="P16" i="4" s="1"/>
  <c r="H17" i="4"/>
  <c r="Y17" i="6" s="1"/>
  <c r="U17" i="4"/>
  <c r="M18" i="4"/>
  <c r="P18" i="6" s="1"/>
  <c r="E19" i="4"/>
  <c r="V19" i="6" s="1"/>
  <c r="R19" i="4"/>
  <c r="B21" i="4"/>
  <c r="H22" i="4"/>
  <c r="Y22" i="6" s="1"/>
  <c r="U22" i="4"/>
  <c r="M26" i="4"/>
  <c r="P26" i="6" s="1"/>
  <c r="U107" i="4"/>
  <c r="O12" i="3"/>
  <c r="U12" i="6" s="1"/>
  <c r="O18" i="3"/>
  <c r="U18" i="6" s="1"/>
  <c r="H22" i="6"/>
  <c r="R22" i="4"/>
  <c r="O24" i="3"/>
  <c r="U24" i="6" s="1"/>
  <c r="H28" i="6"/>
  <c r="C28" i="4"/>
  <c r="B28" i="4"/>
  <c r="R28" i="4"/>
  <c r="O30" i="3"/>
  <c r="U30" i="6" s="1"/>
  <c r="O33" i="3"/>
  <c r="U33" i="6" s="1"/>
  <c r="H37" i="6"/>
  <c r="R37" i="4"/>
  <c r="C37" i="4"/>
  <c r="B37" i="4"/>
  <c r="O39" i="3"/>
  <c r="U39" i="6" s="1"/>
  <c r="H43" i="6"/>
  <c r="R43" i="4"/>
  <c r="C43" i="4"/>
  <c r="O45" i="3"/>
  <c r="U45" i="6" s="1"/>
  <c r="O48" i="3"/>
  <c r="U48" i="6" s="1"/>
  <c r="H52" i="6"/>
  <c r="C52" i="4"/>
  <c r="B52" i="4"/>
  <c r="R52" i="4"/>
  <c r="H55" i="6"/>
  <c r="R55" i="4"/>
  <c r="C55" i="4"/>
  <c r="O57" i="3"/>
  <c r="U57" i="6" s="1"/>
  <c r="O60" i="3"/>
  <c r="U60" i="6" s="1"/>
  <c r="H64" i="6"/>
  <c r="C64" i="4"/>
  <c r="B64" i="4"/>
  <c r="R64" i="4"/>
  <c r="O66" i="3"/>
  <c r="U66" i="6" s="1"/>
  <c r="O69" i="3"/>
  <c r="U69" i="6" s="1"/>
  <c r="H73" i="6"/>
  <c r="R73" i="4"/>
  <c r="C73" i="4"/>
  <c r="B73" i="4"/>
  <c r="O75" i="3"/>
  <c r="U75" i="6" s="1"/>
  <c r="H79" i="6"/>
  <c r="R79" i="4"/>
  <c r="C79" i="4"/>
  <c r="O81" i="3"/>
  <c r="U81" i="6" s="1"/>
  <c r="O84" i="3"/>
  <c r="U84" i="6" s="1"/>
  <c r="H88" i="6"/>
  <c r="C88" i="4"/>
  <c r="P88" i="4" s="1"/>
  <c r="B88" i="4"/>
  <c r="R88" i="4"/>
  <c r="O90" i="3"/>
  <c r="U90" i="6" s="1"/>
  <c r="H94" i="6"/>
  <c r="R94" i="4"/>
  <c r="C94" i="4"/>
  <c r="B94" i="4"/>
  <c r="O96" i="3"/>
  <c r="U96" i="6" s="1"/>
  <c r="H100" i="6"/>
  <c r="C100" i="4"/>
  <c r="B100" i="4"/>
  <c r="R100" i="4"/>
  <c r="H106" i="6"/>
  <c r="R106" i="4"/>
  <c r="C106" i="4"/>
  <c r="B106" i="4"/>
  <c r="H109" i="6"/>
  <c r="R109" i="4"/>
  <c r="B109" i="4"/>
  <c r="C109" i="4"/>
  <c r="H112" i="6"/>
  <c r="R112" i="4"/>
  <c r="C112" i="4"/>
  <c r="B112" i="4"/>
  <c r="H115" i="6"/>
  <c r="C115" i="4"/>
  <c r="B115" i="4"/>
  <c r="R115" i="4"/>
  <c r="H118" i="6"/>
  <c r="C118" i="4"/>
  <c r="B118" i="4"/>
  <c r="R118" i="4"/>
  <c r="H121" i="6"/>
  <c r="R121" i="4"/>
  <c r="B121" i="4"/>
  <c r="C121" i="4"/>
  <c r="J3" i="4"/>
  <c r="M3" i="6" s="1"/>
  <c r="A4" i="4"/>
  <c r="M4" i="4"/>
  <c r="P4" i="6" s="1"/>
  <c r="D5" i="4"/>
  <c r="J7" i="4"/>
  <c r="M7" i="6" s="1"/>
  <c r="A8" i="4"/>
  <c r="M8" i="4"/>
  <c r="P8" i="6" s="1"/>
  <c r="D9" i="4"/>
  <c r="Q9" i="4" s="1"/>
  <c r="J11" i="4"/>
  <c r="M11" i="6" s="1"/>
  <c r="A12" i="4"/>
  <c r="M12" i="4"/>
  <c r="P12" i="6" s="1"/>
  <c r="D13" i="4"/>
  <c r="Q13" i="4" s="1"/>
  <c r="P13" i="4"/>
  <c r="L15" i="4"/>
  <c r="O15" i="6" s="1"/>
  <c r="D16" i="4"/>
  <c r="Q16" i="4" s="1"/>
  <c r="I17" i="4"/>
  <c r="L17" i="6" s="1"/>
  <c r="A18" i="4"/>
  <c r="N18" i="4"/>
  <c r="Q18" i="6" s="1"/>
  <c r="K20" i="4"/>
  <c r="D21" i="4"/>
  <c r="Q21" i="4" s="1"/>
  <c r="I22" i="4"/>
  <c r="L22" i="6" s="1"/>
  <c r="A23" i="4"/>
  <c r="H25" i="4"/>
  <c r="Y25" i="6" s="1"/>
  <c r="H73" i="4"/>
  <c r="Y73" i="6" s="1"/>
  <c r="U108" i="4"/>
  <c r="O3" i="3"/>
  <c r="U3" i="6" s="1"/>
  <c r="O6" i="3"/>
  <c r="U6" i="6" s="1"/>
  <c r="O9" i="3"/>
  <c r="U9" i="6" s="1"/>
  <c r="O15" i="3"/>
  <c r="U15" i="6" s="1"/>
  <c r="O21" i="3"/>
  <c r="U21" i="6" s="1"/>
  <c r="H25" i="6"/>
  <c r="R25" i="4"/>
  <c r="C25" i="4"/>
  <c r="B25" i="4"/>
  <c r="O27" i="3"/>
  <c r="U27" i="6" s="1"/>
  <c r="H31" i="6"/>
  <c r="R31" i="4"/>
  <c r="C31" i="4"/>
  <c r="H34" i="6"/>
  <c r="R34" i="4"/>
  <c r="C34" i="4"/>
  <c r="B34" i="4"/>
  <c r="O36" i="3"/>
  <c r="U36" i="6" s="1"/>
  <c r="H40" i="6"/>
  <c r="C40" i="4"/>
  <c r="B40" i="4"/>
  <c r="R40" i="4"/>
  <c r="O42" i="3"/>
  <c r="U42" i="6" s="1"/>
  <c r="H46" i="6"/>
  <c r="R46" i="4"/>
  <c r="C46" i="4"/>
  <c r="B46" i="4"/>
  <c r="H49" i="6"/>
  <c r="R49" i="4"/>
  <c r="C49" i="4"/>
  <c r="B49" i="4"/>
  <c r="O51" i="3"/>
  <c r="U51" i="6" s="1"/>
  <c r="O54" i="3"/>
  <c r="U54" i="6" s="1"/>
  <c r="H58" i="6"/>
  <c r="R58" i="4"/>
  <c r="C58" i="4"/>
  <c r="B58" i="4"/>
  <c r="H61" i="6"/>
  <c r="R61" i="4"/>
  <c r="C61" i="4"/>
  <c r="B61" i="4"/>
  <c r="O63" i="3"/>
  <c r="U63" i="6" s="1"/>
  <c r="H67" i="6"/>
  <c r="R67" i="4"/>
  <c r="C67" i="4"/>
  <c r="H70" i="6"/>
  <c r="R70" i="4"/>
  <c r="C70" i="4"/>
  <c r="B70" i="4"/>
  <c r="O72" i="3"/>
  <c r="U72" i="6" s="1"/>
  <c r="H76" i="6"/>
  <c r="C76" i="4"/>
  <c r="B76" i="4"/>
  <c r="R76" i="4"/>
  <c r="O78" i="3"/>
  <c r="U78" i="6" s="1"/>
  <c r="H82" i="6"/>
  <c r="R82" i="4"/>
  <c r="C82" i="4"/>
  <c r="B82" i="4"/>
  <c r="H85" i="6"/>
  <c r="R85" i="4"/>
  <c r="C85" i="4"/>
  <c r="B85" i="4"/>
  <c r="O87" i="3"/>
  <c r="U87" i="6" s="1"/>
  <c r="H91" i="6"/>
  <c r="R91" i="4"/>
  <c r="C91" i="4"/>
  <c r="P91" i="4" s="1"/>
  <c r="O93" i="3"/>
  <c r="U93" i="6" s="1"/>
  <c r="H97" i="6"/>
  <c r="R97" i="4"/>
  <c r="C97" i="4"/>
  <c r="B97" i="4"/>
  <c r="H103" i="6"/>
  <c r="R103" i="4"/>
  <c r="C103" i="4"/>
  <c r="R19" i="6"/>
  <c r="U19" i="4"/>
  <c r="I20" i="6"/>
  <c r="L20" i="4"/>
  <c r="O20" i="6" s="1"/>
  <c r="I23" i="6"/>
  <c r="J23" i="4"/>
  <c r="M23" i="6" s="1"/>
  <c r="I26" i="6"/>
  <c r="J26" i="4"/>
  <c r="M26" i="6" s="1"/>
  <c r="E26" i="4"/>
  <c r="V26" i="6" s="1"/>
  <c r="R28" i="6"/>
  <c r="U28" i="4"/>
  <c r="I29" i="6"/>
  <c r="E29" i="4"/>
  <c r="V29" i="6" s="1"/>
  <c r="N29" i="4"/>
  <c r="Q29" i="6" s="1"/>
  <c r="M29" i="4"/>
  <c r="P29" i="6" s="1"/>
  <c r="L29" i="4"/>
  <c r="O29" i="6" s="1"/>
  <c r="R31" i="6"/>
  <c r="U31" i="4"/>
  <c r="I32" i="6"/>
  <c r="N32" i="4"/>
  <c r="Q32" i="6" s="1"/>
  <c r="M32" i="4"/>
  <c r="P32" i="6" s="1"/>
  <c r="L32" i="4"/>
  <c r="O32" i="6" s="1"/>
  <c r="J32" i="4"/>
  <c r="M32" i="6" s="1"/>
  <c r="R34" i="6"/>
  <c r="U34" i="4"/>
  <c r="I35" i="6"/>
  <c r="M35" i="4"/>
  <c r="P35" i="6" s="1"/>
  <c r="L35" i="4"/>
  <c r="O35" i="6" s="1"/>
  <c r="J35" i="4"/>
  <c r="M35" i="6" s="1"/>
  <c r="E35" i="4"/>
  <c r="V35" i="6" s="1"/>
  <c r="R37" i="6"/>
  <c r="U37" i="4"/>
  <c r="I38" i="6"/>
  <c r="J38" i="4"/>
  <c r="M38" i="6" s="1"/>
  <c r="E38" i="4"/>
  <c r="V38" i="6" s="1"/>
  <c r="N38" i="4"/>
  <c r="Q38" i="6" s="1"/>
  <c r="M38" i="4"/>
  <c r="P38" i="6" s="1"/>
  <c r="L38" i="4"/>
  <c r="O38" i="6" s="1"/>
  <c r="R40" i="6"/>
  <c r="U40" i="4"/>
  <c r="I41" i="6"/>
  <c r="E41" i="4"/>
  <c r="V41" i="6" s="1"/>
  <c r="N41" i="4"/>
  <c r="Q41" i="6" s="1"/>
  <c r="M41" i="4"/>
  <c r="P41" i="6" s="1"/>
  <c r="L41" i="4"/>
  <c r="O41" i="6" s="1"/>
  <c r="J41" i="4"/>
  <c r="M41" i="6" s="1"/>
  <c r="R43" i="6"/>
  <c r="U43" i="4"/>
  <c r="I44" i="6"/>
  <c r="N44" i="4"/>
  <c r="Q44" i="6" s="1"/>
  <c r="M44" i="4"/>
  <c r="P44" i="6" s="1"/>
  <c r="L44" i="4"/>
  <c r="O44" i="6" s="1"/>
  <c r="J44" i="4"/>
  <c r="M44" i="6" s="1"/>
  <c r="R46" i="6"/>
  <c r="U46" i="4"/>
  <c r="I47" i="6"/>
  <c r="M47" i="4"/>
  <c r="P47" i="6" s="1"/>
  <c r="L47" i="4"/>
  <c r="O47" i="6" s="1"/>
  <c r="J47" i="4"/>
  <c r="M47" i="6" s="1"/>
  <c r="E47" i="4"/>
  <c r="V47" i="6" s="1"/>
  <c r="R49" i="6"/>
  <c r="U49" i="4"/>
  <c r="I50" i="6"/>
  <c r="J50" i="4"/>
  <c r="M50" i="6" s="1"/>
  <c r="E50" i="4"/>
  <c r="V50" i="6" s="1"/>
  <c r="N50" i="4"/>
  <c r="Q50" i="6" s="1"/>
  <c r="M50" i="4"/>
  <c r="P50" i="6" s="1"/>
  <c r="L50" i="4"/>
  <c r="O50" i="6" s="1"/>
  <c r="R52" i="6"/>
  <c r="U52" i="4"/>
  <c r="I53" i="6"/>
  <c r="E53" i="4"/>
  <c r="V53" i="6" s="1"/>
  <c r="N53" i="4"/>
  <c r="Q53" i="6" s="1"/>
  <c r="M53" i="4"/>
  <c r="P53" i="6" s="1"/>
  <c r="L53" i="4"/>
  <c r="O53" i="6" s="1"/>
  <c r="J53" i="4"/>
  <c r="M53" i="6" s="1"/>
  <c r="R55" i="6"/>
  <c r="U55" i="4"/>
  <c r="I56" i="6"/>
  <c r="N56" i="4"/>
  <c r="Q56" i="6" s="1"/>
  <c r="M56" i="4"/>
  <c r="P56" i="6" s="1"/>
  <c r="L56" i="4"/>
  <c r="O56" i="6" s="1"/>
  <c r="J56" i="4"/>
  <c r="M56" i="6" s="1"/>
  <c r="R58" i="6"/>
  <c r="U58" i="4"/>
  <c r="I59" i="6"/>
  <c r="M59" i="4"/>
  <c r="P59" i="6" s="1"/>
  <c r="L59" i="4"/>
  <c r="O59" i="6" s="1"/>
  <c r="J59" i="4"/>
  <c r="M59" i="6" s="1"/>
  <c r="E59" i="4"/>
  <c r="V59" i="6" s="1"/>
  <c r="R61" i="6"/>
  <c r="U61" i="4"/>
  <c r="I62" i="6"/>
  <c r="J62" i="4"/>
  <c r="M62" i="6" s="1"/>
  <c r="E62" i="4"/>
  <c r="V62" i="6" s="1"/>
  <c r="N62" i="4"/>
  <c r="Q62" i="6" s="1"/>
  <c r="M62" i="4"/>
  <c r="P62" i="6" s="1"/>
  <c r="L62" i="4"/>
  <c r="O62" i="6" s="1"/>
  <c r="R64" i="6"/>
  <c r="U64" i="4"/>
  <c r="I65" i="6"/>
  <c r="E65" i="4"/>
  <c r="V65" i="6" s="1"/>
  <c r="N65" i="4"/>
  <c r="Q65" i="6" s="1"/>
  <c r="M65" i="4"/>
  <c r="P65" i="6" s="1"/>
  <c r="L65" i="4"/>
  <c r="O65" i="6" s="1"/>
  <c r="J65" i="4"/>
  <c r="M65" i="6" s="1"/>
  <c r="R67" i="6"/>
  <c r="U67" i="4"/>
  <c r="I68" i="6"/>
  <c r="N68" i="4"/>
  <c r="Q68" i="6" s="1"/>
  <c r="M68" i="4"/>
  <c r="P68" i="6" s="1"/>
  <c r="L68" i="4"/>
  <c r="O68" i="6" s="1"/>
  <c r="J68" i="4"/>
  <c r="M68" i="6" s="1"/>
  <c r="R70" i="6"/>
  <c r="U70" i="4"/>
  <c r="I71" i="6"/>
  <c r="M71" i="4"/>
  <c r="P71" i="6" s="1"/>
  <c r="L71" i="4"/>
  <c r="O71" i="6" s="1"/>
  <c r="J71" i="4"/>
  <c r="M71" i="6" s="1"/>
  <c r="E71" i="4"/>
  <c r="V71" i="6" s="1"/>
  <c r="R73" i="6"/>
  <c r="U73" i="4"/>
  <c r="I74" i="6"/>
  <c r="J74" i="4"/>
  <c r="M74" i="6" s="1"/>
  <c r="E74" i="4"/>
  <c r="V74" i="6" s="1"/>
  <c r="N74" i="4"/>
  <c r="Q74" i="6" s="1"/>
  <c r="M74" i="4"/>
  <c r="P74" i="6" s="1"/>
  <c r="L74" i="4"/>
  <c r="O74" i="6" s="1"/>
  <c r="R76" i="6"/>
  <c r="U76" i="4"/>
  <c r="I77" i="6"/>
  <c r="E77" i="4"/>
  <c r="V77" i="6" s="1"/>
  <c r="N77" i="4"/>
  <c r="Q77" i="6" s="1"/>
  <c r="M77" i="4"/>
  <c r="P77" i="6" s="1"/>
  <c r="L77" i="4"/>
  <c r="O77" i="6" s="1"/>
  <c r="J77" i="4"/>
  <c r="M77" i="6" s="1"/>
  <c r="R79" i="6"/>
  <c r="U79" i="4"/>
  <c r="I80" i="6"/>
  <c r="N80" i="4"/>
  <c r="Q80" i="6" s="1"/>
  <c r="M80" i="4"/>
  <c r="P80" i="6" s="1"/>
  <c r="L80" i="4"/>
  <c r="O80" i="6" s="1"/>
  <c r="J80" i="4"/>
  <c r="M80" i="6" s="1"/>
  <c r="R82" i="6"/>
  <c r="U82" i="4"/>
  <c r="I83" i="6"/>
  <c r="M83" i="4"/>
  <c r="P83" i="6" s="1"/>
  <c r="L83" i="4"/>
  <c r="O83" i="6" s="1"/>
  <c r="J83" i="4"/>
  <c r="M83" i="6" s="1"/>
  <c r="E83" i="4"/>
  <c r="V83" i="6" s="1"/>
  <c r="R85" i="6"/>
  <c r="U85" i="4"/>
  <c r="I86" i="6"/>
  <c r="J86" i="4"/>
  <c r="M86" i="6" s="1"/>
  <c r="E86" i="4"/>
  <c r="V86" i="6" s="1"/>
  <c r="N86" i="4"/>
  <c r="Q86" i="6" s="1"/>
  <c r="M86" i="4"/>
  <c r="P86" i="6" s="1"/>
  <c r="L86" i="4"/>
  <c r="O86" i="6" s="1"/>
  <c r="R88" i="6"/>
  <c r="U88" i="4"/>
  <c r="I89" i="6"/>
  <c r="E89" i="4"/>
  <c r="V89" i="6" s="1"/>
  <c r="N89" i="4"/>
  <c r="Q89" i="6" s="1"/>
  <c r="M89" i="4"/>
  <c r="P89" i="6" s="1"/>
  <c r="L89" i="4"/>
  <c r="O89" i="6" s="1"/>
  <c r="J89" i="4"/>
  <c r="M89" i="6" s="1"/>
  <c r="R91" i="6"/>
  <c r="U91" i="4"/>
  <c r="I92" i="6"/>
  <c r="N92" i="4"/>
  <c r="Q92" i="6" s="1"/>
  <c r="M92" i="4"/>
  <c r="P92" i="6" s="1"/>
  <c r="L92" i="4"/>
  <c r="O92" i="6" s="1"/>
  <c r="J92" i="4"/>
  <c r="M92" i="6" s="1"/>
  <c r="R94" i="6"/>
  <c r="U94" i="4"/>
  <c r="I95" i="6"/>
  <c r="M95" i="4"/>
  <c r="P95" i="6" s="1"/>
  <c r="L95" i="4"/>
  <c r="O95" i="6" s="1"/>
  <c r="J95" i="4"/>
  <c r="M95" i="6" s="1"/>
  <c r="E95" i="4"/>
  <c r="V95" i="6" s="1"/>
  <c r="R97" i="6"/>
  <c r="U97" i="4"/>
  <c r="I98" i="6"/>
  <c r="J98" i="4"/>
  <c r="M98" i="6" s="1"/>
  <c r="E98" i="4"/>
  <c r="V98" i="6" s="1"/>
  <c r="N98" i="4"/>
  <c r="Q98" i="6" s="1"/>
  <c r="M98" i="4"/>
  <c r="P98" i="6" s="1"/>
  <c r="L98" i="4"/>
  <c r="O98" i="6" s="1"/>
  <c r="R100" i="6"/>
  <c r="U100" i="4"/>
  <c r="I101" i="6"/>
  <c r="E101" i="4"/>
  <c r="V101" i="6" s="1"/>
  <c r="N101" i="4"/>
  <c r="Q101" i="6" s="1"/>
  <c r="M101" i="4"/>
  <c r="P101" i="6" s="1"/>
  <c r="L101" i="4"/>
  <c r="O101" i="6" s="1"/>
  <c r="J101" i="4"/>
  <c r="M101" i="6" s="1"/>
  <c r="R103" i="6"/>
  <c r="U103" i="4"/>
  <c r="I104" i="6"/>
  <c r="E104" i="4"/>
  <c r="V104" i="6" s="1"/>
  <c r="N104" i="4"/>
  <c r="Q104" i="6" s="1"/>
  <c r="M104" i="4"/>
  <c r="P104" i="6" s="1"/>
  <c r="L104" i="4"/>
  <c r="O104" i="6" s="1"/>
  <c r="J104" i="4"/>
  <c r="M104" i="6" s="1"/>
  <c r="R106" i="6"/>
  <c r="U106" i="4"/>
  <c r="I107" i="6"/>
  <c r="N107" i="4"/>
  <c r="Q107" i="6" s="1"/>
  <c r="L107" i="4"/>
  <c r="O107" i="6" s="1"/>
  <c r="M107" i="4"/>
  <c r="P107" i="6" s="1"/>
  <c r="J107" i="4"/>
  <c r="M107" i="6" s="1"/>
  <c r="E107" i="4"/>
  <c r="V107" i="6" s="1"/>
  <c r="R109" i="6"/>
  <c r="U109" i="4"/>
  <c r="I110" i="6"/>
  <c r="L110" i="4"/>
  <c r="O110" i="6" s="1"/>
  <c r="E110" i="4"/>
  <c r="V110" i="6" s="1"/>
  <c r="N110" i="4"/>
  <c r="Q110" i="6" s="1"/>
  <c r="M110" i="4"/>
  <c r="P110" i="6" s="1"/>
  <c r="J110" i="4"/>
  <c r="M110" i="6" s="1"/>
  <c r="R112" i="6"/>
  <c r="U112" i="4"/>
  <c r="I113" i="6"/>
  <c r="E113" i="4"/>
  <c r="V113" i="6" s="1"/>
  <c r="N113" i="4"/>
  <c r="Q113" i="6" s="1"/>
  <c r="L113" i="4"/>
  <c r="O113" i="6" s="1"/>
  <c r="J113" i="4"/>
  <c r="M113" i="6" s="1"/>
  <c r="M113" i="4"/>
  <c r="P113" i="6" s="1"/>
  <c r="R115" i="6"/>
  <c r="U115" i="4"/>
  <c r="I116" i="6"/>
  <c r="E116" i="4"/>
  <c r="V116" i="6" s="1"/>
  <c r="N116" i="4"/>
  <c r="Q116" i="6" s="1"/>
  <c r="M116" i="4"/>
  <c r="P116" i="6" s="1"/>
  <c r="L116" i="4"/>
  <c r="O116" i="6" s="1"/>
  <c r="J116" i="4"/>
  <c r="M116" i="6" s="1"/>
  <c r="R118" i="6"/>
  <c r="U118" i="4"/>
  <c r="I119" i="6"/>
  <c r="N119" i="4"/>
  <c r="Q119" i="6" s="1"/>
  <c r="M119" i="4"/>
  <c r="P119" i="6" s="1"/>
  <c r="L119" i="4"/>
  <c r="O119" i="6" s="1"/>
  <c r="J119" i="4"/>
  <c r="M119" i="6" s="1"/>
  <c r="E119" i="4"/>
  <c r="V119" i="6" s="1"/>
  <c r="R121" i="6"/>
  <c r="U121" i="4"/>
  <c r="H2" i="4"/>
  <c r="Y2" i="6" s="1"/>
  <c r="K3" i="4"/>
  <c r="B4" i="4"/>
  <c r="N4" i="4"/>
  <c r="Q4" i="6" s="1"/>
  <c r="E5" i="4"/>
  <c r="V5" i="6" s="1"/>
  <c r="Q5" i="4"/>
  <c r="H6" i="4"/>
  <c r="Y6" i="6" s="1"/>
  <c r="K7" i="4"/>
  <c r="B8" i="4"/>
  <c r="N8" i="4"/>
  <c r="Q8" i="6" s="1"/>
  <c r="E9" i="4"/>
  <c r="V9" i="6" s="1"/>
  <c r="H10" i="4"/>
  <c r="Y10" i="6" s="1"/>
  <c r="K11" i="4"/>
  <c r="B12" i="4"/>
  <c r="N12" i="4"/>
  <c r="Q12" i="6" s="1"/>
  <c r="E13" i="4"/>
  <c r="V13" i="6" s="1"/>
  <c r="H14" i="4"/>
  <c r="Y14" i="6" s="1"/>
  <c r="U14" i="4"/>
  <c r="M15" i="4"/>
  <c r="P15" i="6" s="1"/>
  <c r="E16" i="4"/>
  <c r="V16" i="6" s="1"/>
  <c r="R16" i="4"/>
  <c r="J17" i="4"/>
  <c r="M17" i="6" s="1"/>
  <c r="B18" i="4"/>
  <c r="M20" i="4"/>
  <c r="P20" i="6" s="1"/>
  <c r="E21" i="4"/>
  <c r="V21" i="6" s="1"/>
  <c r="J22" i="4"/>
  <c r="M22" i="6" s="1"/>
  <c r="B23" i="4"/>
  <c r="I24" i="4"/>
  <c r="L24" i="6" s="1"/>
  <c r="I25" i="4"/>
  <c r="L25" i="6" s="1"/>
  <c r="B27" i="4"/>
  <c r="K46" i="4"/>
  <c r="B67" i="4"/>
  <c r="K94" i="4"/>
  <c r="J23" i="6"/>
  <c r="I23" i="4"/>
  <c r="L23" i="6" s="1"/>
  <c r="J26" i="6"/>
  <c r="I26" i="4"/>
  <c r="L26" i="6" s="1"/>
  <c r="D26" i="4"/>
  <c r="A28" i="6"/>
  <c r="A28" i="4"/>
  <c r="J29" i="6"/>
  <c r="D29" i="4"/>
  <c r="I29" i="4"/>
  <c r="L29" i="6" s="1"/>
  <c r="A31" i="6"/>
  <c r="A31" i="4"/>
  <c r="J32" i="6"/>
  <c r="D32" i="4"/>
  <c r="Q32" i="4" s="1"/>
  <c r="I32" i="4"/>
  <c r="L32" i="6" s="1"/>
  <c r="A34" i="6"/>
  <c r="A34" i="4"/>
  <c r="J35" i="6"/>
  <c r="I35" i="4"/>
  <c r="L35" i="6" s="1"/>
  <c r="D35" i="4"/>
  <c r="A37" i="6"/>
  <c r="A37" i="4"/>
  <c r="J38" i="6"/>
  <c r="I38" i="4"/>
  <c r="L38" i="6" s="1"/>
  <c r="D38" i="4"/>
  <c r="A40" i="6"/>
  <c r="A40" i="4"/>
  <c r="J41" i="6"/>
  <c r="D41" i="4"/>
  <c r="I41" i="4"/>
  <c r="L41" i="6" s="1"/>
  <c r="A43" i="6"/>
  <c r="A43" i="4"/>
  <c r="J44" i="6"/>
  <c r="D44" i="4"/>
  <c r="Q44" i="4" s="1"/>
  <c r="I44" i="4"/>
  <c r="L44" i="6" s="1"/>
  <c r="A46" i="6"/>
  <c r="A46" i="4"/>
  <c r="J47" i="6"/>
  <c r="I47" i="4"/>
  <c r="L47" i="6" s="1"/>
  <c r="D47" i="4"/>
  <c r="A49" i="6"/>
  <c r="A49" i="4"/>
  <c r="J50" i="6"/>
  <c r="I50" i="4"/>
  <c r="L50" i="6" s="1"/>
  <c r="D50" i="4"/>
  <c r="A52" i="6"/>
  <c r="A52" i="4"/>
  <c r="J53" i="6"/>
  <c r="D53" i="4"/>
  <c r="I53" i="4"/>
  <c r="L53" i="6" s="1"/>
  <c r="A55" i="6"/>
  <c r="A55" i="4"/>
  <c r="J56" i="6"/>
  <c r="D56" i="4"/>
  <c r="Q56" i="4" s="1"/>
  <c r="I56" i="4"/>
  <c r="L56" i="6" s="1"/>
  <c r="A58" i="6"/>
  <c r="A58" i="4"/>
  <c r="J59" i="6"/>
  <c r="I59" i="4"/>
  <c r="L59" i="6" s="1"/>
  <c r="D59" i="4"/>
  <c r="A61" i="6"/>
  <c r="A61" i="4"/>
  <c r="J62" i="6"/>
  <c r="I62" i="4"/>
  <c r="L62" i="6" s="1"/>
  <c r="D62" i="4"/>
  <c r="A64" i="6"/>
  <c r="A64" i="4"/>
  <c r="J65" i="6"/>
  <c r="D65" i="4"/>
  <c r="I65" i="4"/>
  <c r="L65" i="6" s="1"/>
  <c r="A67" i="6"/>
  <c r="A67" i="4"/>
  <c r="J68" i="6"/>
  <c r="D68" i="4"/>
  <c r="Q68" i="4" s="1"/>
  <c r="I68" i="4"/>
  <c r="L68" i="6" s="1"/>
  <c r="A70" i="6"/>
  <c r="A70" i="4"/>
  <c r="J71" i="6"/>
  <c r="I71" i="4"/>
  <c r="L71" i="6" s="1"/>
  <c r="D71" i="4"/>
  <c r="A73" i="6"/>
  <c r="A73" i="4"/>
  <c r="J74" i="6"/>
  <c r="I74" i="4"/>
  <c r="L74" i="6" s="1"/>
  <c r="D74" i="4"/>
  <c r="A76" i="6"/>
  <c r="A76" i="4"/>
  <c r="J77" i="6"/>
  <c r="D77" i="4"/>
  <c r="I77" i="4"/>
  <c r="L77" i="6" s="1"/>
  <c r="A79" i="6"/>
  <c r="A79" i="4"/>
  <c r="J80" i="6"/>
  <c r="D80" i="4"/>
  <c r="Q80" i="4" s="1"/>
  <c r="I80" i="4"/>
  <c r="L80" i="6" s="1"/>
  <c r="A82" i="6"/>
  <c r="A82" i="4"/>
  <c r="J83" i="6"/>
  <c r="I83" i="4"/>
  <c r="L83" i="6" s="1"/>
  <c r="D83" i="4"/>
  <c r="A85" i="6"/>
  <c r="A85" i="4"/>
  <c r="J86" i="6"/>
  <c r="I86" i="4"/>
  <c r="L86" i="6" s="1"/>
  <c r="D86" i="4"/>
  <c r="A88" i="6"/>
  <c r="A88" i="4"/>
  <c r="J89" i="6"/>
  <c r="D89" i="4"/>
  <c r="Q89" i="4" s="1"/>
  <c r="I89" i="4"/>
  <c r="L89" i="6" s="1"/>
  <c r="A91" i="6"/>
  <c r="A91" i="4"/>
  <c r="J92" i="6"/>
  <c r="D92" i="4"/>
  <c r="Q92" i="4" s="1"/>
  <c r="I92" i="4"/>
  <c r="L92" i="6" s="1"/>
  <c r="A94" i="6"/>
  <c r="A94" i="4"/>
  <c r="J95" i="6"/>
  <c r="I95" i="4"/>
  <c r="L95" i="6" s="1"/>
  <c r="D95" i="4"/>
  <c r="Q95" i="4" s="1"/>
  <c r="A97" i="6"/>
  <c r="A97" i="4"/>
  <c r="J98" i="6"/>
  <c r="I98" i="4"/>
  <c r="L98" i="6" s="1"/>
  <c r="D98" i="4"/>
  <c r="A100" i="6"/>
  <c r="A100" i="4"/>
  <c r="J101" i="6"/>
  <c r="D101" i="4"/>
  <c r="Q101" i="4" s="1"/>
  <c r="I101" i="4"/>
  <c r="L101" i="6" s="1"/>
  <c r="A103" i="6"/>
  <c r="A103" i="4"/>
  <c r="J104" i="6"/>
  <c r="D104" i="4"/>
  <c r="J7" i="5" s="1"/>
  <c r="I104" i="4"/>
  <c r="L104" i="6" s="1"/>
  <c r="A106" i="6"/>
  <c r="A106" i="4"/>
  <c r="J107" i="6"/>
  <c r="I107" i="4"/>
  <c r="L107" i="6" s="1"/>
  <c r="D107" i="4"/>
  <c r="Q107" i="4" s="1"/>
  <c r="A109" i="6"/>
  <c r="A109" i="4"/>
  <c r="J110" i="6"/>
  <c r="I110" i="4"/>
  <c r="L110" i="6" s="1"/>
  <c r="D110" i="4"/>
  <c r="Q110" i="4" s="1"/>
  <c r="A112" i="6"/>
  <c r="A112" i="4"/>
  <c r="J113" i="6"/>
  <c r="I113" i="4"/>
  <c r="L113" i="6" s="1"/>
  <c r="D113" i="4"/>
  <c r="Q113" i="4" s="1"/>
  <c r="A115" i="6"/>
  <c r="A115" i="4"/>
  <c r="J116" i="6"/>
  <c r="D116" i="4"/>
  <c r="Q116" i="4" s="1"/>
  <c r="I116" i="4"/>
  <c r="L116" i="6" s="1"/>
  <c r="A118" i="6"/>
  <c r="A118" i="4"/>
  <c r="J119" i="6"/>
  <c r="D119" i="4"/>
  <c r="I119" i="4"/>
  <c r="L119" i="6" s="1"/>
  <c r="A121" i="6"/>
  <c r="A121" i="4"/>
  <c r="I2" i="4"/>
  <c r="L2" i="6" s="1"/>
  <c r="U2" i="4"/>
  <c r="L3" i="4"/>
  <c r="O3" i="6" s="1"/>
  <c r="C4" i="4"/>
  <c r="R5" i="4"/>
  <c r="I6" i="4"/>
  <c r="L6" i="6" s="1"/>
  <c r="U6" i="4"/>
  <c r="L7" i="4"/>
  <c r="O7" i="6" s="1"/>
  <c r="C8" i="4"/>
  <c r="R9" i="4"/>
  <c r="I10" i="4"/>
  <c r="L10" i="6" s="1"/>
  <c r="U10" i="4"/>
  <c r="L11" i="4"/>
  <c r="O11" i="6" s="1"/>
  <c r="C12" i="4"/>
  <c r="P12" i="4" s="1"/>
  <c r="R13" i="4"/>
  <c r="I14" i="4"/>
  <c r="L14" i="6" s="1"/>
  <c r="A15" i="4"/>
  <c r="N15" i="4"/>
  <c r="Q15" i="6" s="1"/>
  <c r="K17" i="4"/>
  <c r="P18" i="4"/>
  <c r="H19" i="4"/>
  <c r="Y19" i="6" s="1"/>
  <c r="A20" i="4"/>
  <c r="N20" i="4"/>
  <c r="Q20" i="6" s="1"/>
  <c r="K22" i="4"/>
  <c r="C23" i="4"/>
  <c r="P23" i="4" s="1"/>
  <c r="J24" i="4"/>
  <c r="M24" i="6" s="1"/>
  <c r="J25" i="4"/>
  <c r="M25" i="6" s="1"/>
  <c r="H29" i="4"/>
  <c r="Y29" i="6" s="1"/>
  <c r="F24" i="6"/>
  <c r="K26" i="6"/>
  <c r="H26" i="4"/>
  <c r="Y26" i="6" s="1"/>
  <c r="F30" i="6"/>
  <c r="K32" i="6"/>
  <c r="K32" i="4"/>
  <c r="H32" i="4"/>
  <c r="Y32" i="6" s="1"/>
  <c r="F33" i="6"/>
  <c r="K35" i="6"/>
  <c r="K35" i="4"/>
  <c r="H35" i="4"/>
  <c r="Y35" i="6" s="1"/>
  <c r="F36" i="6"/>
  <c r="K38" i="6"/>
  <c r="H38" i="4"/>
  <c r="Y38" i="6" s="1"/>
  <c r="F39" i="6"/>
  <c r="K41" i="6"/>
  <c r="K41" i="4"/>
  <c r="F42" i="6"/>
  <c r="K44" i="6"/>
  <c r="K44" i="4"/>
  <c r="H44" i="4"/>
  <c r="Y44" i="6" s="1"/>
  <c r="F45" i="6"/>
  <c r="K47" i="6"/>
  <c r="K47" i="4"/>
  <c r="H47" i="4"/>
  <c r="Y47" i="6" s="1"/>
  <c r="F48" i="6"/>
  <c r="K50" i="6"/>
  <c r="H50" i="4"/>
  <c r="Y50" i="6" s="1"/>
  <c r="F51" i="6"/>
  <c r="K53" i="6"/>
  <c r="K53" i="4"/>
  <c r="F54" i="6"/>
  <c r="K56" i="6"/>
  <c r="K56" i="4"/>
  <c r="H56" i="4"/>
  <c r="Y56" i="6" s="1"/>
  <c r="F57" i="6"/>
  <c r="K59" i="6"/>
  <c r="K59" i="4"/>
  <c r="H59" i="4"/>
  <c r="Y59" i="6" s="1"/>
  <c r="F60" i="6"/>
  <c r="K62" i="6"/>
  <c r="H62" i="4"/>
  <c r="Y62" i="6" s="1"/>
  <c r="F63" i="6"/>
  <c r="K65" i="6"/>
  <c r="K65" i="4"/>
  <c r="F66" i="6"/>
  <c r="K68" i="6"/>
  <c r="K68" i="4"/>
  <c r="H68" i="4"/>
  <c r="Y68" i="6" s="1"/>
  <c r="F69" i="6"/>
  <c r="K71" i="6"/>
  <c r="K71" i="4"/>
  <c r="H71" i="4"/>
  <c r="Y71" i="6" s="1"/>
  <c r="F72" i="6"/>
  <c r="P72" i="4"/>
  <c r="K74" i="6"/>
  <c r="H74" i="4"/>
  <c r="Y74" i="6" s="1"/>
  <c r="F75" i="6"/>
  <c r="K77" i="6"/>
  <c r="K77" i="4"/>
  <c r="F78" i="6"/>
  <c r="K80" i="6"/>
  <c r="K80" i="4"/>
  <c r="H80" i="4"/>
  <c r="Y80" i="6" s="1"/>
  <c r="F81" i="6"/>
  <c r="K83" i="6"/>
  <c r="K83" i="4"/>
  <c r="H83" i="4"/>
  <c r="Y83" i="6" s="1"/>
  <c r="F84" i="6"/>
  <c r="K86" i="6"/>
  <c r="H86" i="4"/>
  <c r="Y86" i="6" s="1"/>
  <c r="F87" i="6"/>
  <c r="K89" i="6"/>
  <c r="K89" i="4"/>
  <c r="F90" i="6"/>
  <c r="K92" i="6"/>
  <c r="K92" i="4"/>
  <c r="H92" i="4"/>
  <c r="Y92" i="6" s="1"/>
  <c r="F93" i="6"/>
  <c r="K95" i="6"/>
  <c r="K95" i="4"/>
  <c r="H95" i="4"/>
  <c r="Y95" i="6" s="1"/>
  <c r="F96" i="6"/>
  <c r="K98" i="6"/>
  <c r="H98" i="4"/>
  <c r="Y98" i="6" s="1"/>
  <c r="F99" i="6"/>
  <c r="K101" i="6"/>
  <c r="K101" i="4"/>
  <c r="F102" i="6"/>
  <c r="K104" i="6"/>
  <c r="K104" i="4"/>
  <c r="H104" i="4"/>
  <c r="Y104" i="6" s="1"/>
  <c r="F105" i="6"/>
  <c r="K107" i="6"/>
  <c r="H107" i="4"/>
  <c r="Y107" i="6" s="1"/>
  <c r="K107" i="4"/>
  <c r="F108" i="6"/>
  <c r="K110" i="6"/>
  <c r="K110" i="4"/>
  <c r="H110" i="4"/>
  <c r="Y110" i="6" s="1"/>
  <c r="F111" i="6"/>
  <c r="K113" i="6"/>
  <c r="H113" i="4"/>
  <c r="Y113" i="6" s="1"/>
  <c r="K113" i="4"/>
  <c r="F114" i="6"/>
  <c r="K116" i="6"/>
  <c r="K116" i="4"/>
  <c r="H116" i="4"/>
  <c r="Y116" i="6" s="1"/>
  <c r="F117" i="6"/>
  <c r="P117" i="4"/>
  <c r="K119" i="6"/>
  <c r="K119" i="4"/>
  <c r="H119" i="4"/>
  <c r="Y119" i="6" s="1"/>
  <c r="F120" i="6"/>
  <c r="J2" i="4"/>
  <c r="M2" i="6" s="1"/>
  <c r="A3" i="4"/>
  <c r="M3" i="4"/>
  <c r="P3" i="6" s="1"/>
  <c r="D4" i="4"/>
  <c r="Q4" i="4" s="1"/>
  <c r="P4" i="4"/>
  <c r="J6" i="4"/>
  <c r="M6" i="6" s="1"/>
  <c r="A7" i="4"/>
  <c r="M7" i="4"/>
  <c r="P7" i="6" s="1"/>
  <c r="D8" i="4"/>
  <c r="Q8" i="4" s="1"/>
  <c r="J10" i="4"/>
  <c r="M10" i="6" s="1"/>
  <c r="A11" i="4"/>
  <c r="M11" i="4"/>
  <c r="P11" i="6" s="1"/>
  <c r="D12" i="4"/>
  <c r="J14" i="4"/>
  <c r="M14" i="6" s="1"/>
  <c r="B15" i="4"/>
  <c r="L17" i="4"/>
  <c r="O17" i="6" s="1"/>
  <c r="D18" i="4"/>
  <c r="Q18" i="4" s="1"/>
  <c r="J19" i="4"/>
  <c r="M19" i="6" s="1"/>
  <c r="B20" i="4"/>
  <c r="L22" i="4"/>
  <c r="O22" i="6" s="1"/>
  <c r="D23" i="4"/>
  <c r="Q23" i="4" s="1"/>
  <c r="R23" i="4"/>
  <c r="K25" i="4"/>
  <c r="J29" i="4"/>
  <c r="M29" i="6" s="1"/>
  <c r="N47" i="4"/>
  <c r="Q47" i="6" s="1"/>
  <c r="H61" i="4"/>
  <c r="Y61" i="6" s="1"/>
  <c r="E68" i="4"/>
  <c r="V68" i="6" s="1"/>
  <c r="N95" i="4"/>
  <c r="Q95" i="6" s="1"/>
  <c r="O4" i="3"/>
  <c r="U4" i="6" s="1"/>
  <c r="O10" i="3"/>
  <c r="U10" i="6" s="1"/>
  <c r="H14" i="6"/>
  <c r="R14" i="4"/>
  <c r="O16" i="3"/>
  <c r="U16" i="6" s="1"/>
  <c r="O22" i="3"/>
  <c r="U22" i="6" s="1"/>
  <c r="H26" i="6"/>
  <c r="R26" i="4"/>
  <c r="C26" i="4"/>
  <c r="P26" i="4" s="1"/>
  <c r="O28" i="3"/>
  <c r="U28" i="6" s="1"/>
  <c r="H32" i="6"/>
  <c r="C32" i="4"/>
  <c r="B32" i="4"/>
  <c r="R32" i="4"/>
  <c r="O34" i="3"/>
  <c r="U34" i="6" s="1"/>
  <c r="H38" i="6"/>
  <c r="R38" i="4"/>
  <c r="C38" i="4"/>
  <c r="P38" i="4" s="1"/>
  <c r="B38" i="4"/>
  <c r="O40" i="3"/>
  <c r="U40" i="6" s="1"/>
  <c r="H44" i="6"/>
  <c r="C44" i="4"/>
  <c r="B44" i="4"/>
  <c r="R44" i="4"/>
  <c r="O46" i="3"/>
  <c r="U46" i="6" s="1"/>
  <c r="H50" i="6"/>
  <c r="R50" i="4"/>
  <c r="C50" i="4"/>
  <c r="B50" i="4"/>
  <c r="O52" i="3"/>
  <c r="U52" i="6" s="1"/>
  <c r="H53" i="6"/>
  <c r="R53" i="4"/>
  <c r="C53" i="4"/>
  <c r="P53" i="4" s="1"/>
  <c r="B53" i="4"/>
  <c r="O55" i="3"/>
  <c r="U55" i="6" s="1"/>
  <c r="H59" i="6"/>
  <c r="R59" i="4"/>
  <c r="C59" i="4"/>
  <c r="O61" i="3"/>
  <c r="U61" i="6" s="1"/>
  <c r="H65" i="6"/>
  <c r="R65" i="4"/>
  <c r="C65" i="4"/>
  <c r="P65" i="4" s="1"/>
  <c r="B65" i="4"/>
  <c r="O67" i="3"/>
  <c r="U67" i="6" s="1"/>
  <c r="H71" i="6"/>
  <c r="R71" i="4"/>
  <c r="C71" i="4"/>
  <c r="H74" i="6"/>
  <c r="R74" i="4"/>
  <c r="C74" i="4"/>
  <c r="B74" i="4"/>
  <c r="O76" i="3"/>
  <c r="U76" i="6" s="1"/>
  <c r="H80" i="6"/>
  <c r="C80" i="4"/>
  <c r="P80" i="4" s="1"/>
  <c r="B80" i="4"/>
  <c r="R80" i="4"/>
  <c r="O82" i="3"/>
  <c r="U82" i="6" s="1"/>
  <c r="O85" i="3"/>
  <c r="U85" i="6" s="1"/>
  <c r="H89" i="6"/>
  <c r="R89" i="4"/>
  <c r="C89" i="4"/>
  <c r="P89" i="4" s="1"/>
  <c r="B89" i="4"/>
  <c r="O91" i="3"/>
  <c r="U91" i="6" s="1"/>
  <c r="H95" i="6"/>
  <c r="R95" i="4"/>
  <c r="C95" i="4"/>
  <c r="P95" i="4" s="1"/>
  <c r="H98" i="6"/>
  <c r="R98" i="4"/>
  <c r="C98" i="4"/>
  <c r="B98" i="4"/>
  <c r="O100" i="3"/>
  <c r="U100" i="6" s="1"/>
  <c r="H101" i="6"/>
  <c r="R101" i="4"/>
  <c r="C101" i="4"/>
  <c r="B101" i="4"/>
  <c r="H104" i="6"/>
  <c r="C104" i="4"/>
  <c r="R104" i="4"/>
  <c r="B104" i="4"/>
  <c r="H107" i="6"/>
  <c r="C107" i="4"/>
  <c r="P107" i="4" s="1"/>
  <c r="R107" i="4"/>
  <c r="H110" i="6"/>
  <c r="B110" i="4"/>
  <c r="R110" i="4"/>
  <c r="C110" i="4"/>
  <c r="O112" i="3"/>
  <c r="U112" i="6" s="1"/>
  <c r="H113" i="6"/>
  <c r="R113" i="4"/>
  <c r="B113" i="4"/>
  <c r="C113" i="4"/>
  <c r="P113" i="4" s="1"/>
  <c r="O115" i="3"/>
  <c r="U115" i="6" s="1"/>
  <c r="O118" i="3"/>
  <c r="U118" i="6" s="1"/>
  <c r="H119" i="6"/>
  <c r="C119" i="4"/>
  <c r="P119" i="4" s="1"/>
  <c r="B119" i="4"/>
  <c r="R119" i="4"/>
  <c r="O121" i="3"/>
  <c r="U121" i="6" s="1"/>
  <c r="K2" i="4"/>
  <c r="B3" i="4"/>
  <c r="N3" i="4"/>
  <c r="Q3" i="6" s="1"/>
  <c r="E4" i="4"/>
  <c r="V4" i="6" s="1"/>
  <c r="H5" i="4"/>
  <c r="Y5" i="6" s="1"/>
  <c r="K6" i="4"/>
  <c r="B7" i="4"/>
  <c r="N7" i="4"/>
  <c r="Q7" i="6" s="1"/>
  <c r="E8" i="4"/>
  <c r="V8" i="6" s="1"/>
  <c r="H9" i="4"/>
  <c r="Y9" i="6" s="1"/>
  <c r="K10" i="4"/>
  <c r="B11" i="4"/>
  <c r="N11" i="4"/>
  <c r="Q11" i="6" s="1"/>
  <c r="E12" i="4"/>
  <c r="V12" i="6" s="1"/>
  <c r="H13" i="4"/>
  <c r="Y13" i="6" s="1"/>
  <c r="K14" i="4"/>
  <c r="C15" i="4"/>
  <c r="P15" i="4" s="1"/>
  <c r="H16" i="4"/>
  <c r="Y16" i="6" s="1"/>
  <c r="U16" i="4"/>
  <c r="M17" i="4"/>
  <c r="P17" i="6" s="1"/>
  <c r="E18" i="4"/>
  <c r="V18" i="6" s="1"/>
  <c r="K19" i="4"/>
  <c r="C20" i="4"/>
  <c r="H21" i="4"/>
  <c r="Y21" i="6" s="1"/>
  <c r="U21" i="4"/>
  <c r="M22" i="4"/>
  <c r="P22" i="6" s="1"/>
  <c r="E23" i="4"/>
  <c r="V23" i="6" s="1"/>
  <c r="K29" i="4"/>
  <c r="K34" i="4"/>
  <c r="H41" i="4"/>
  <c r="Y41" i="6" s="1"/>
  <c r="B55" i="4"/>
  <c r="K82" i="4"/>
  <c r="H89" i="4"/>
  <c r="Y89" i="6" s="1"/>
  <c r="B103" i="4"/>
  <c r="O7" i="3"/>
  <c r="U7" i="6" s="1"/>
  <c r="O13" i="3"/>
  <c r="U13" i="6" s="1"/>
  <c r="H17" i="6"/>
  <c r="C17" i="4"/>
  <c r="P17" i="4" s="1"/>
  <c r="O19" i="3"/>
  <c r="U19" i="6" s="1"/>
  <c r="O25" i="3"/>
  <c r="U25" i="6" s="1"/>
  <c r="H29" i="6"/>
  <c r="R29" i="4"/>
  <c r="C29" i="4"/>
  <c r="B29" i="4"/>
  <c r="O31" i="3"/>
  <c r="U31" i="6" s="1"/>
  <c r="H35" i="6"/>
  <c r="R35" i="4"/>
  <c r="C35" i="4"/>
  <c r="P35" i="4" s="1"/>
  <c r="O37" i="3"/>
  <c r="U37" i="6" s="1"/>
  <c r="H41" i="6"/>
  <c r="R41" i="4"/>
  <c r="C41" i="4"/>
  <c r="P41" i="4" s="1"/>
  <c r="B41" i="4"/>
  <c r="O43" i="3"/>
  <c r="U43" i="6" s="1"/>
  <c r="H47" i="6"/>
  <c r="R47" i="4"/>
  <c r="C47" i="4"/>
  <c r="O49" i="3"/>
  <c r="U49" i="6" s="1"/>
  <c r="H56" i="6"/>
  <c r="C56" i="4"/>
  <c r="B56" i="4"/>
  <c r="R56" i="4"/>
  <c r="O58" i="3"/>
  <c r="U58" i="6" s="1"/>
  <c r="H62" i="6"/>
  <c r="R62" i="4"/>
  <c r="C62" i="4"/>
  <c r="P62" i="4" s="1"/>
  <c r="B62" i="4"/>
  <c r="O64" i="3"/>
  <c r="U64" i="6" s="1"/>
  <c r="H68" i="6"/>
  <c r="C68" i="4"/>
  <c r="P68" i="4" s="1"/>
  <c r="B68" i="4"/>
  <c r="R68" i="4"/>
  <c r="O70" i="3"/>
  <c r="U70" i="6" s="1"/>
  <c r="O73" i="3"/>
  <c r="U73" i="6" s="1"/>
  <c r="H77" i="6"/>
  <c r="R77" i="4"/>
  <c r="C77" i="4"/>
  <c r="B77" i="4"/>
  <c r="O79" i="3"/>
  <c r="U79" i="6" s="1"/>
  <c r="H83" i="6"/>
  <c r="R83" i="4"/>
  <c r="C83" i="4"/>
  <c r="P83" i="4" s="1"/>
  <c r="H86" i="6"/>
  <c r="R86" i="4"/>
  <c r="C86" i="4"/>
  <c r="P86" i="4" s="1"/>
  <c r="B86" i="4"/>
  <c r="O88" i="3"/>
  <c r="U88" i="6" s="1"/>
  <c r="H92" i="6"/>
  <c r="C92" i="4"/>
  <c r="B92" i="4"/>
  <c r="R92" i="4"/>
  <c r="O94" i="3"/>
  <c r="U94" i="6" s="1"/>
  <c r="O97" i="3"/>
  <c r="U97" i="6" s="1"/>
  <c r="O103" i="3"/>
  <c r="U103" i="6" s="1"/>
  <c r="O106" i="3"/>
  <c r="U106" i="6" s="1"/>
  <c r="O109" i="3"/>
  <c r="U109" i="6" s="1"/>
  <c r="H116" i="6"/>
  <c r="R116" i="4"/>
  <c r="C116" i="4"/>
  <c r="B116" i="4"/>
  <c r="R23" i="6"/>
  <c r="U23" i="4"/>
  <c r="I24" i="6"/>
  <c r="M24" i="4"/>
  <c r="P24" i="6" s="1"/>
  <c r="L24" i="4"/>
  <c r="O24" i="6" s="1"/>
  <c r="R26" i="6"/>
  <c r="U26" i="4"/>
  <c r="I27" i="6"/>
  <c r="M27" i="4"/>
  <c r="P27" i="6" s="1"/>
  <c r="L27" i="4"/>
  <c r="O27" i="6" s="1"/>
  <c r="J27" i="4"/>
  <c r="M27" i="6" s="1"/>
  <c r="R29" i="6"/>
  <c r="U29" i="4"/>
  <c r="I30" i="6"/>
  <c r="J30" i="4"/>
  <c r="M30" i="6" s="1"/>
  <c r="E30" i="4"/>
  <c r="V30" i="6" s="1"/>
  <c r="M30" i="4"/>
  <c r="P30" i="6" s="1"/>
  <c r="L30" i="4"/>
  <c r="O30" i="6" s="1"/>
  <c r="R32" i="6"/>
  <c r="U32" i="4"/>
  <c r="I33" i="6"/>
  <c r="E33" i="4"/>
  <c r="V33" i="6" s="1"/>
  <c r="N33" i="4"/>
  <c r="Q33" i="6" s="1"/>
  <c r="M33" i="4"/>
  <c r="P33" i="6" s="1"/>
  <c r="L33" i="4"/>
  <c r="O33" i="6" s="1"/>
  <c r="J33" i="4"/>
  <c r="M33" i="6" s="1"/>
  <c r="R35" i="6"/>
  <c r="U35" i="4"/>
  <c r="I36" i="6"/>
  <c r="N36" i="4"/>
  <c r="Q36" i="6" s="1"/>
  <c r="M36" i="4"/>
  <c r="P36" i="6" s="1"/>
  <c r="L36" i="4"/>
  <c r="O36" i="6" s="1"/>
  <c r="J36" i="4"/>
  <c r="M36" i="6" s="1"/>
  <c r="R38" i="6"/>
  <c r="U38" i="4"/>
  <c r="I39" i="6"/>
  <c r="M39" i="4"/>
  <c r="P39" i="6" s="1"/>
  <c r="L39" i="4"/>
  <c r="O39" i="6" s="1"/>
  <c r="J39" i="4"/>
  <c r="M39" i="6" s="1"/>
  <c r="E39" i="4"/>
  <c r="V39" i="6" s="1"/>
  <c r="R41" i="6"/>
  <c r="U41" i="4"/>
  <c r="I42" i="6"/>
  <c r="J42" i="4"/>
  <c r="M42" i="6" s="1"/>
  <c r="E42" i="4"/>
  <c r="V42" i="6" s="1"/>
  <c r="N42" i="4"/>
  <c r="Q42" i="6" s="1"/>
  <c r="M42" i="4"/>
  <c r="P42" i="6" s="1"/>
  <c r="L42" i="4"/>
  <c r="O42" i="6" s="1"/>
  <c r="R44" i="6"/>
  <c r="U44" i="4"/>
  <c r="I45" i="6"/>
  <c r="E45" i="4"/>
  <c r="V45" i="6" s="1"/>
  <c r="N45" i="4"/>
  <c r="Q45" i="6" s="1"/>
  <c r="M45" i="4"/>
  <c r="P45" i="6" s="1"/>
  <c r="L45" i="4"/>
  <c r="O45" i="6" s="1"/>
  <c r="J45" i="4"/>
  <c r="M45" i="6" s="1"/>
  <c r="R47" i="6"/>
  <c r="U47" i="4"/>
  <c r="I48" i="6"/>
  <c r="N48" i="4"/>
  <c r="Q48" i="6" s="1"/>
  <c r="M48" i="4"/>
  <c r="P48" i="6" s="1"/>
  <c r="L48" i="4"/>
  <c r="O48" i="6" s="1"/>
  <c r="J48" i="4"/>
  <c r="M48" i="6" s="1"/>
  <c r="R50" i="6"/>
  <c r="U50" i="4"/>
  <c r="I51" i="6"/>
  <c r="M51" i="4"/>
  <c r="P51" i="6" s="1"/>
  <c r="L51" i="4"/>
  <c r="O51" i="6" s="1"/>
  <c r="J51" i="4"/>
  <c r="M51" i="6" s="1"/>
  <c r="E51" i="4"/>
  <c r="V51" i="6" s="1"/>
  <c r="R53" i="6"/>
  <c r="U53" i="4"/>
  <c r="I54" i="6"/>
  <c r="J54" i="4"/>
  <c r="M54" i="6" s="1"/>
  <c r="E54" i="4"/>
  <c r="V54" i="6" s="1"/>
  <c r="N54" i="4"/>
  <c r="Q54" i="6" s="1"/>
  <c r="M54" i="4"/>
  <c r="P54" i="6" s="1"/>
  <c r="L54" i="4"/>
  <c r="O54" i="6" s="1"/>
  <c r="R56" i="6"/>
  <c r="U56" i="4"/>
  <c r="I57" i="6"/>
  <c r="E57" i="4"/>
  <c r="V57" i="6" s="1"/>
  <c r="N57" i="4"/>
  <c r="Q57" i="6" s="1"/>
  <c r="M57" i="4"/>
  <c r="P57" i="6" s="1"/>
  <c r="L57" i="4"/>
  <c r="O57" i="6" s="1"/>
  <c r="J57" i="4"/>
  <c r="M57" i="6" s="1"/>
  <c r="R59" i="6"/>
  <c r="U59" i="4"/>
  <c r="I60" i="6"/>
  <c r="N60" i="4"/>
  <c r="Q60" i="6" s="1"/>
  <c r="M60" i="4"/>
  <c r="P60" i="6" s="1"/>
  <c r="L60" i="4"/>
  <c r="O60" i="6" s="1"/>
  <c r="J60" i="4"/>
  <c r="M60" i="6" s="1"/>
  <c r="R62" i="6"/>
  <c r="U62" i="4"/>
  <c r="I63" i="6"/>
  <c r="M63" i="4"/>
  <c r="P63" i="6" s="1"/>
  <c r="L63" i="4"/>
  <c r="O63" i="6" s="1"/>
  <c r="J63" i="4"/>
  <c r="M63" i="6" s="1"/>
  <c r="E63" i="4"/>
  <c r="V63" i="6" s="1"/>
  <c r="R65" i="6"/>
  <c r="U65" i="4"/>
  <c r="I66" i="6"/>
  <c r="J66" i="4"/>
  <c r="M66" i="6" s="1"/>
  <c r="E66" i="4"/>
  <c r="V66" i="6" s="1"/>
  <c r="N66" i="4"/>
  <c r="Q66" i="6" s="1"/>
  <c r="M66" i="4"/>
  <c r="P66" i="6" s="1"/>
  <c r="L66" i="4"/>
  <c r="O66" i="6" s="1"/>
  <c r="R68" i="6"/>
  <c r="U68" i="4"/>
  <c r="I69" i="6"/>
  <c r="E69" i="4"/>
  <c r="V69" i="6" s="1"/>
  <c r="N69" i="4"/>
  <c r="Q69" i="6" s="1"/>
  <c r="M69" i="4"/>
  <c r="P69" i="6" s="1"/>
  <c r="L69" i="4"/>
  <c r="O69" i="6" s="1"/>
  <c r="J69" i="4"/>
  <c r="M69" i="6" s="1"/>
  <c r="R71" i="6"/>
  <c r="U71" i="4"/>
  <c r="I72" i="6"/>
  <c r="N72" i="4"/>
  <c r="Q72" i="6" s="1"/>
  <c r="M72" i="4"/>
  <c r="P72" i="6" s="1"/>
  <c r="L72" i="4"/>
  <c r="O72" i="6" s="1"/>
  <c r="J72" i="4"/>
  <c r="M72" i="6" s="1"/>
  <c r="R74" i="6"/>
  <c r="U74" i="4"/>
  <c r="I75" i="6"/>
  <c r="M75" i="4"/>
  <c r="P75" i="6" s="1"/>
  <c r="L75" i="4"/>
  <c r="O75" i="6" s="1"/>
  <c r="J75" i="4"/>
  <c r="M75" i="6" s="1"/>
  <c r="E75" i="4"/>
  <c r="V75" i="6" s="1"/>
  <c r="R77" i="6"/>
  <c r="U77" i="4"/>
  <c r="I78" i="6"/>
  <c r="J78" i="4"/>
  <c r="M78" i="6" s="1"/>
  <c r="E78" i="4"/>
  <c r="V78" i="6" s="1"/>
  <c r="N78" i="4"/>
  <c r="Q78" i="6" s="1"/>
  <c r="M78" i="4"/>
  <c r="P78" i="6" s="1"/>
  <c r="L78" i="4"/>
  <c r="O78" i="6" s="1"/>
  <c r="R80" i="6"/>
  <c r="U80" i="4"/>
  <c r="I81" i="6"/>
  <c r="E81" i="4"/>
  <c r="V81" i="6" s="1"/>
  <c r="N81" i="4"/>
  <c r="Q81" i="6" s="1"/>
  <c r="M81" i="4"/>
  <c r="P81" i="6" s="1"/>
  <c r="L81" i="4"/>
  <c r="O81" i="6" s="1"/>
  <c r="J81" i="4"/>
  <c r="M81" i="6" s="1"/>
  <c r="R83" i="6"/>
  <c r="U83" i="4"/>
  <c r="I84" i="6"/>
  <c r="N84" i="4"/>
  <c r="Q84" i="6" s="1"/>
  <c r="M84" i="4"/>
  <c r="P84" i="6" s="1"/>
  <c r="L84" i="4"/>
  <c r="O84" i="6" s="1"/>
  <c r="J84" i="4"/>
  <c r="M84" i="6" s="1"/>
  <c r="R86" i="6"/>
  <c r="U86" i="4"/>
  <c r="I87" i="6"/>
  <c r="M87" i="4"/>
  <c r="P87" i="6" s="1"/>
  <c r="L87" i="4"/>
  <c r="O87" i="6" s="1"/>
  <c r="J87" i="4"/>
  <c r="M87" i="6" s="1"/>
  <c r="E87" i="4"/>
  <c r="V87" i="6" s="1"/>
  <c r="R89" i="6"/>
  <c r="U89" i="4"/>
  <c r="I90" i="6"/>
  <c r="J90" i="4"/>
  <c r="M90" i="6" s="1"/>
  <c r="E90" i="4"/>
  <c r="V90" i="6" s="1"/>
  <c r="N90" i="4"/>
  <c r="Q90" i="6" s="1"/>
  <c r="M90" i="4"/>
  <c r="P90" i="6" s="1"/>
  <c r="L90" i="4"/>
  <c r="O90" i="6" s="1"/>
  <c r="R92" i="6"/>
  <c r="U92" i="4"/>
  <c r="I93" i="6"/>
  <c r="E93" i="4"/>
  <c r="V93" i="6" s="1"/>
  <c r="N93" i="4"/>
  <c r="Q93" i="6" s="1"/>
  <c r="M93" i="4"/>
  <c r="P93" i="6" s="1"/>
  <c r="L93" i="4"/>
  <c r="O93" i="6" s="1"/>
  <c r="J93" i="4"/>
  <c r="M93" i="6" s="1"/>
  <c r="R95" i="6"/>
  <c r="U95" i="4"/>
  <c r="I96" i="6"/>
  <c r="N96" i="4"/>
  <c r="Q96" i="6" s="1"/>
  <c r="M96" i="4"/>
  <c r="P96" i="6" s="1"/>
  <c r="L96" i="4"/>
  <c r="O96" i="6" s="1"/>
  <c r="J96" i="4"/>
  <c r="M96" i="6" s="1"/>
  <c r="R98" i="6"/>
  <c r="U98" i="4"/>
  <c r="I99" i="6"/>
  <c r="M99" i="4"/>
  <c r="P99" i="6" s="1"/>
  <c r="L99" i="4"/>
  <c r="O99" i="6" s="1"/>
  <c r="J99" i="4"/>
  <c r="M99" i="6" s="1"/>
  <c r="E99" i="4"/>
  <c r="V99" i="6" s="1"/>
  <c r="R101" i="6"/>
  <c r="U101" i="4"/>
  <c r="I102" i="6"/>
  <c r="J102" i="4"/>
  <c r="M102" i="6" s="1"/>
  <c r="E102" i="4"/>
  <c r="V102" i="6" s="1"/>
  <c r="N102" i="4"/>
  <c r="Q102" i="6" s="1"/>
  <c r="M102" i="4"/>
  <c r="P102" i="6" s="1"/>
  <c r="L102" i="4"/>
  <c r="O102" i="6" s="1"/>
  <c r="I105" i="6"/>
  <c r="N105" i="4"/>
  <c r="Q105" i="6" s="1"/>
  <c r="M105" i="4"/>
  <c r="P105" i="6" s="1"/>
  <c r="L105" i="4"/>
  <c r="O105" i="6" s="1"/>
  <c r="J105" i="4"/>
  <c r="M105" i="6" s="1"/>
  <c r="E105" i="4"/>
  <c r="V105" i="6" s="1"/>
  <c r="I108" i="6"/>
  <c r="E108" i="4"/>
  <c r="V108" i="6" s="1"/>
  <c r="N108" i="4"/>
  <c r="Q108" i="6" s="1"/>
  <c r="M108" i="4"/>
  <c r="P108" i="6" s="1"/>
  <c r="L108" i="4"/>
  <c r="O108" i="6" s="1"/>
  <c r="J108" i="4"/>
  <c r="M108" i="6" s="1"/>
  <c r="R110" i="6"/>
  <c r="U110" i="4"/>
  <c r="I111" i="6"/>
  <c r="N111" i="4"/>
  <c r="Q111" i="6" s="1"/>
  <c r="M111" i="4"/>
  <c r="P111" i="6" s="1"/>
  <c r="L111" i="4"/>
  <c r="O111" i="6" s="1"/>
  <c r="J111" i="4"/>
  <c r="M111" i="6" s="1"/>
  <c r="E111" i="4"/>
  <c r="V111" i="6" s="1"/>
  <c r="R113" i="6"/>
  <c r="U113" i="4"/>
  <c r="I114" i="6"/>
  <c r="L114" i="4"/>
  <c r="O114" i="6" s="1"/>
  <c r="J114" i="4"/>
  <c r="M114" i="6" s="1"/>
  <c r="E114" i="4"/>
  <c r="V114" i="6" s="1"/>
  <c r="N114" i="4"/>
  <c r="Q114" i="6" s="1"/>
  <c r="M114" i="4"/>
  <c r="P114" i="6" s="1"/>
  <c r="R116" i="6"/>
  <c r="U116" i="4"/>
  <c r="I117" i="6"/>
  <c r="E117" i="4"/>
  <c r="V117" i="6" s="1"/>
  <c r="N117" i="4"/>
  <c r="Q117" i="6" s="1"/>
  <c r="L117" i="4"/>
  <c r="O117" i="6" s="1"/>
  <c r="J117" i="4"/>
  <c r="M117" i="6" s="1"/>
  <c r="M117" i="4"/>
  <c r="P117" i="6" s="1"/>
  <c r="R119" i="6"/>
  <c r="U119" i="4"/>
  <c r="I120" i="6"/>
  <c r="E120" i="4"/>
  <c r="V120" i="6" s="1"/>
  <c r="N120" i="4"/>
  <c r="Q120" i="6" s="1"/>
  <c r="M120" i="4"/>
  <c r="P120" i="6" s="1"/>
  <c r="J120" i="4"/>
  <c r="M120" i="6" s="1"/>
  <c r="L2" i="4"/>
  <c r="O2" i="6" s="1"/>
  <c r="C3" i="4"/>
  <c r="R4" i="4"/>
  <c r="I5" i="4"/>
  <c r="L5" i="6" s="1"/>
  <c r="U5" i="4"/>
  <c r="L6" i="4"/>
  <c r="O6" i="6" s="1"/>
  <c r="C7" i="4"/>
  <c r="P7" i="4" s="1"/>
  <c r="R8" i="4"/>
  <c r="I9" i="4"/>
  <c r="L9" i="6" s="1"/>
  <c r="U9" i="4"/>
  <c r="L10" i="4"/>
  <c r="O10" i="6" s="1"/>
  <c r="C11" i="4"/>
  <c r="R12" i="4"/>
  <c r="I13" i="4"/>
  <c r="L13" i="6" s="1"/>
  <c r="U13" i="4"/>
  <c r="L14" i="4"/>
  <c r="O14" i="6" s="1"/>
  <c r="Q15" i="4"/>
  <c r="I16" i="4"/>
  <c r="L16" i="6" s="1"/>
  <c r="A17" i="4"/>
  <c r="N17" i="4"/>
  <c r="Q17" i="6" s="1"/>
  <c r="L19" i="4"/>
  <c r="O19" i="6" s="1"/>
  <c r="D20" i="4"/>
  <c r="Q20" i="4" s="1"/>
  <c r="I21" i="4"/>
  <c r="L21" i="6" s="1"/>
  <c r="A22" i="4"/>
  <c r="N22" i="4"/>
  <c r="Q22" i="6" s="1"/>
  <c r="N27" i="4"/>
  <c r="Q27" i="6" s="1"/>
  <c r="B35" i="4"/>
  <c r="K62" i="4"/>
  <c r="B83" i="4"/>
  <c r="L120" i="4"/>
  <c r="O120" i="6" s="1"/>
  <c r="F27" i="7"/>
  <c r="J15" i="6"/>
  <c r="I15" i="4"/>
  <c r="L15" i="6" s="1"/>
  <c r="J27" i="6"/>
  <c r="I27" i="4"/>
  <c r="L27" i="6" s="1"/>
  <c r="A29" i="6"/>
  <c r="A29" i="4"/>
  <c r="J30" i="6"/>
  <c r="I30" i="4"/>
  <c r="L30" i="6" s="1"/>
  <c r="D30" i="4"/>
  <c r="Q30" i="4" s="1"/>
  <c r="A32" i="6"/>
  <c r="A32" i="4"/>
  <c r="J33" i="6"/>
  <c r="D33" i="4"/>
  <c r="I33" i="4"/>
  <c r="L33" i="6" s="1"/>
  <c r="A35" i="6"/>
  <c r="A35" i="4"/>
  <c r="J36" i="6"/>
  <c r="D36" i="4"/>
  <c r="Q36" i="4" s="1"/>
  <c r="I36" i="4"/>
  <c r="L36" i="6" s="1"/>
  <c r="A38" i="6"/>
  <c r="B3" i="7" s="1"/>
  <c r="A4" i="8" s="1"/>
  <c r="A38" i="4"/>
  <c r="J39" i="6"/>
  <c r="I39" i="4"/>
  <c r="L39" i="6" s="1"/>
  <c r="D39" i="4"/>
  <c r="A41" i="6"/>
  <c r="A41" i="4"/>
  <c r="J42" i="6"/>
  <c r="I42" i="4"/>
  <c r="L42" i="6" s="1"/>
  <c r="D42" i="4"/>
  <c r="A44" i="6"/>
  <c r="A44" i="4"/>
  <c r="J45" i="6"/>
  <c r="D45" i="4"/>
  <c r="Q45" i="4" s="1"/>
  <c r="I45" i="4"/>
  <c r="L45" i="6" s="1"/>
  <c r="A47" i="6"/>
  <c r="A47" i="4"/>
  <c r="J48" i="6"/>
  <c r="D48" i="4"/>
  <c r="I48" i="4"/>
  <c r="L48" i="6" s="1"/>
  <c r="A50" i="6"/>
  <c r="A50" i="4"/>
  <c r="J51" i="6"/>
  <c r="I51" i="4"/>
  <c r="L51" i="6" s="1"/>
  <c r="D51" i="4"/>
  <c r="A53" i="6"/>
  <c r="A53" i="4"/>
  <c r="J54" i="6"/>
  <c r="I54" i="4"/>
  <c r="L54" i="6" s="1"/>
  <c r="D54" i="4"/>
  <c r="Q54" i="4" s="1"/>
  <c r="A56" i="6"/>
  <c r="A56" i="4"/>
  <c r="J57" i="6"/>
  <c r="D57" i="4"/>
  <c r="I57" i="4"/>
  <c r="L57" i="6" s="1"/>
  <c r="A59" i="6"/>
  <c r="A59" i="4"/>
  <c r="J60" i="6"/>
  <c r="D60" i="4"/>
  <c r="Q60" i="4" s="1"/>
  <c r="I60" i="4"/>
  <c r="L60" i="6" s="1"/>
  <c r="A62" i="6"/>
  <c r="A62" i="4"/>
  <c r="J63" i="6"/>
  <c r="I63" i="4"/>
  <c r="L63" i="6" s="1"/>
  <c r="D63" i="4"/>
  <c r="A65" i="6"/>
  <c r="A65" i="4"/>
  <c r="J66" i="6"/>
  <c r="I66" i="4"/>
  <c r="L66" i="6" s="1"/>
  <c r="D66" i="4"/>
  <c r="Q66" i="4" s="1"/>
  <c r="A68" i="6"/>
  <c r="A68" i="4"/>
  <c r="J69" i="6"/>
  <c r="D69" i="4"/>
  <c r="Q69" i="4" s="1"/>
  <c r="I69" i="4"/>
  <c r="L69" i="6" s="1"/>
  <c r="A71" i="6"/>
  <c r="A71" i="4"/>
  <c r="J72" i="6"/>
  <c r="D72" i="4"/>
  <c r="Q72" i="4" s="1"/>
  <c r="I72" i="4"/>
  <c r="L72" i="6" s="1"/>
  <c r="A74" i="6"/>
  <c r="A74" i="4"/>
  <c r="J75" i="6"/>
  <c r="I75" i="4"/>
  <c r="L75" i="6" s="1"/>
  <c r="D75" i="4"/>
  <c r="A77" i="6"/>
  <c r="A77" i="4"/>
  <c r="J78" i="6"/>
  <c r="I78" i="4"/>
  <c r="L78" i="6" s="1"/>
  <c r="D78" i="4"/>
  <c r="A80" i="6"/>
  <c r="A80" i="4"/>
  <c r="J81" i="6"/>
  <c r="D81" i="4"/>
  <c r="Q81" i="4" s="1"/>
  <c r="I81" i="4"/>
  <c r="L81" i="6" s="1"/>
  <c r="A83" i="6"/>
  <c r="A83" i="4"/>
  <c r="J84" i="6"/>
  <c r="D84" i="4"/>
  <c r="Q84" i="4" s="1"/>
  <c r="I84" i="4"/>
  <c r="L84" i="6" s="1"/>
  <c r="A86" i="6"/>
  <c r="A86" i="4"/>
  <c r="J87" i="6"/>
  <c r="I87" i="4"/>
  <c r="L87" i="6" s="1"/>
  <c r="D87" i="4"/>
  <c r="Q87" i="4" s="1"/>
  <c r="A89" i="6"/>
  <c r="A89" i="4"/>
  <c r="J90" i="6"/>
  <c r="I90" i="4"/>
  <c r="L90" i="6" s="1"/>
  <c r="D90" i="4"/>
  <c r="Q90" i="4" s="1"/>
  <c r="A92" i="6"/>
  <c r="A92" i="4"/>
  <c r="J93" i="6"/>
  <c r="D93" i="4"/>
  <c r="Q93" i="4" s="1"/>
  <c r="I93" i="4"/>
  <c r="L93" i="6" s="1"/>
  <c r="A95" i="6"/>
  <c r="A95" i="4"/>
  <c r="J96" i="6"/>
  <c r="D96" i="4"/>
  <c r="I96" i="4"/>
  <c r="L96" i="6" s="1"/>
  <c r="A98" i="6"/>
  <c r="A98" i="4"/>
  <c r="J99" i="6"/>
  <c r="I99" i="4"/>
  <c r="L99" i="6" s="1"/>
  <c r="D99" i="4"/>
  <c r="A101" i="6"/>
  <c r="A101" i="4"/>
  <c r="J102" i="6"/>
  <c r="I102" i="4"/>
  <c r="L102" i="6" s="1"/>
  <c r="D102" i="4"/>
  <c r="Q102" i="4" s="1"/>
  <c r="A104" i="6"/>
  <c r="A104" i="4"/>
  <c r="J105" i="6"/>
  <c r="I105" i="4"/>
  <c r="L105" i="6" s="1"/>
  <c r="D105" i="4"/>
  <c r="Q105" i="4" s="1"/>
  <c r="A107" i="6"/>
  <c r="A107" i="4"/>
  <c r="J108" i="6"/>
  <c r="I108" i="4"/>
  <c r="L108" i="6" s="1"/>
  <c r="D108" i="4"/>
  <c r="Q108" i="4" s="1"/>
  <c r="A110" i="6"/>
  <c r="A110" i="4"/>
  <c r="J111" i="6"/>
  <c r="D111" i="4"/>
  <c r="Q111" i="4" s="1"/>
  <c r="I111" i="4"/>
  <c r="L111" i="6" s="1"/>
  <c r="A113" i="6"/>
  <c r="A113" i="4"/>
  <c r="J114" i="6"/>
  <c r="I114" i="4"/>
  <c r="L114" i="6" s="1"/>
  <c r="D114" i="4"/>
  <c r="A116" i="6"/>
  <c r="A116" i="4"/>
  <c r="J117" i="6"/>
  <c r="I117" i="4"/>
  <c r="L117" i="6" s="1"/>
  <c r="D117" i="4"/>
  <c r="Q117" i="4" s="1"/>
  <c r="A119" i="6"/>
  <c r="A119" i="4"/>
  <c r="J120" i="6"/>
  <c r="D120" i="4"/>
  <c r="I120" i="4"/>
  <c r="L120" i="6" s="1"/>
  <c r="A2" i="4"/>
  <c r="M2" i="4"/>
  <c r="P2" i="6" s="1"/>
  <c r="D3" i="4"/>
  <c r="Q3" i="4" s="1"/>
  <c r="J5" i="4"/>
  <c r="M5" i="6" s="1"/>
  <c r="A6" i="4"/>
  <c r="M6" i="4"/>
  <c r="P6" i="6" s="1"/>
  <c r="D7" i="4"/>
  <c r="Q7" i="4" s="1"/>
  <c r="J9" i="4"/>
  <c r="M9" i="6" s="1"/>
  <c r="A10" i="4"/>
  <c r="M10" i="4"/>
  <c r="P10" i="6" s="1"/>
  <c r="D11" i="4"/>
  <c r="Q11" i="4" s="1"/>
  <c r="P11" i="4"/>
  <c r="J13" i="4"/>
  <c r="M13" i="6" s="1"/>
  <c r="A14" i="4"/>
  <c r="M14" i="4"/>
  <c r="P14" i="6" s="1"/>
  <c r="E15" i="4"/>
  <c r="V15" i="6" s="1"/>
  <c r="R15" i="4"/>
  <c r="J16" i="4"/>
  <c r="M16" i="6" s="1"/>
  <c r="B17" i="4"/>
  <c r="H18" i="4"/>
  <c r="Y18" i="6" s="1"/>
  <c r="U18" i="4"/>
  <c r="M19" i="4"/>
  <c r="P19" i="6" s="1"/>
  <c r="E20" i="4"/>
  <c r="V20" i="6" s="1"/>
  <c r="R20" i="4"/>
  <c r="J21" i="4"/>
  <c r="M21" i="6" s="1"/>
  <c r="B22" i="4"/>
  <c r="B24" i="4"/>
  <c r="R24" i="4"/>
  <c r="U25" i="4"/>
  <c r="P27" i="4"/>
  <c r="A30" i="4"/>
  <c r="N35" i="4"/>
  <c r="Q35" i="6" s="1"/>
  <c r="H49" i="4"/>
  <c r="Y49" i="6" s="1"/>
  <c r="E56" i="4"/>
  <c r="V56" i="6" s="1"/>
  <c r="N83" i="4"/>
  <c r="Q83" i="6" s="1"/>
  <c r="H97" i="4"/>
  <c r="Y97" i="6" s="1"/>
  <c r="K24" i="6"/>
  <c r="K24" i="4"/>
  <c r="F25" i="6"/>
  <c r="P25" i="4"/>
  <c r="K27" i="6"/>
  <c r="K27" i="4"/>
  <c r="H27" i="4"/>
  <c r="Y27" i="6" s="1"/>
  <c r="F28" i="6"/>
  <c r="P28" i="4"/>
  <c r="K30" i="6"/>
  <c r="H30" i="4"/>
  <c r="Y30" i="6" s="1"/>
  <c r="F31" i="6"/>
  <c r="P31" i="4"/>
  <c r="K33" i="6"/>
  <c r="K33" i="4"/>
  <c r="F34" i="6"/>
  <c r="P34" i="4"/>
  <c r="K36" i="6"/>
  <c r="K36" i="4"/>
  <c r="H36" i="4"/>
  <c r="Y36" i="6" s="1"/>
  <c r="F37" i="6"/>
  <c r="P37" i="4"/>
  <c r="K39" i="6"/>
  <c r="K39" i="4"/>
  <c r="H39" i="4"/>
  <c r="Y39" i="6" s="1"/>
  <c r="F40" i="6"/>
  <c r="P40" i="4"/>
  <c r="K42" i="6"/>
  <c r="H42" i="4"/>
  <c r="Y42" i="6" s="1"/>
  <c r="F43" i="6"/>
  <c r="P43" i="4"/>
  <c r="K45" i="6"/>
  <c r="K45" i="4"/>
  <c r="F46" i="6"/>
  <c r="P46" i="4"/>
  <c r="K48" i="6"/>
  <c r="K48" i="4"/>
  <c r="H48" i="4"/>
  <c r="Y48" i="6" s="1"/>
  <c r="F49" i="6"/>
  <c r="P49" i="4"/>
  <c r="K51" i="6"/>
  <c r="K51" i="4"/>
  <c r="H51" i="4"/>
  <c r="Y51" i="6" s="1"/>
  <c r="F52" i="6"/>
  <c r="P52" i="4"/>
  <c r="K54" i="6"/>
  <c r="H54" i="4"/>
  <c r="Y54" i="6" s="1"/>
  <c r="F55" i="6"/>
  <c r="P55" i="4"/>
  <c r="K57" i="6"/>
  <c r="K57" i="4"/>
  <c r="F58" i="6"/>
  <c r="P58" i="4"/>
  <c r="K60" i="6"/>
  <c r="K60" i="4"/>
  <c r="H60" i="4"/>
  <c r="Y60" i="6" s="1"/>
  <c r="F61" i="6"/>
  <c r="P61" i="4"/>
  <c r="K63" i="6"/>
  <c r="K63" i="4"/>
  <c r="H63" i="4"/>
  <c r="Y63" i="6" s="1"/>
  <c r="F64" i="6"/>
  <c r="P64" i="4"/>
  <c r="K66" i="6"/>
  <c r="H66" i="4"/>
  <c r="Y66" i="6" s="1"/>
  <c r="F67" i="6"/>
  <c r="P67" i="4"/>
  <c r="K69" i="6"/>
  <c r="K69" i="4"/>
  <c r="F70" i="6"/>
  <c r="P70" i="4"/>
  <c r="K72" i="6"/>
  <c r="K72" i="4"/>
  <c r="H72" i="4"/>
  <c r="Y72" i="6" s="1"/>
  <c r="F73" i="6"/>
  <c r="P73" i="4"/>
  <c r="K75" i="6"/>
  <c r="K75" i="4"/>
  <c r="H75" i="4"/>
  <c r="Y75" i="6" s="1"/>
  <c r="F76" i="6"/>
  <c r="P76" i="4"/>
  <c r="K78" i="6"/>
  <c r="H78" i="4"/>
  <c r="Y78" i="6" s="1"/>
  <c r="F79" i="6"/>
  <c r="P79" i="4"/>
  <c r="K81" i="6"/>
  <c r="K81" i="4"/>
  <c r="F82" i="6"/>
  <c r="P82" i="4"/>
  <c r="K84" i="6"/>
  <c r="K84" i="4"/>
  <c r="H84" i="4"/>
  <c r="Y84" i="6" s="1"/>
  <c r="F85" i="6"/>
  <c r="P85" i="4"/>
  <c r="K87" i="6"/>
  <c r="K87" i="4"/>
  <c r="H87" i="4"/>
  <c r="Y87" i="6" s="1"/>
  <c r="F88" i="6"/>
  <c r="K90" i="6"/>
  <c r="H90" i="4"/>
  <c r="Y90" i="6" s="1"/>
  <c r="F91" i="6"/>
  <c r="K93" i="6"/>
  <c r="K93" i="4"/>
  <c r="F94" i="6"/>
  <c r="P94" i="4"/>
  <c r="K96" i="6"/>
  <c r="K96" i="4"/>
  <c r="H96" i="4"/>
  <c r="Y96" i="6" s="1"/>
  <c r="F97" i="6"/>
  <c r="P97" i="4"/>
  <c r="K99" i="6"/>
  <c r="K99" i="4"/>
  <c r="H99" i="4"/>
  <c r="Y99" i="6" s="1"/>
  <c r="F100" i="6"/>
  <c r="P100" i="4"/>
  <c r="K102" i="6"/>
  <c r="H102" i="4"/>
  <c r="Y102" i="6" s="1"/>
  <c r="F103" i="6"/>
  <c r="P103" i="4"/>
  <c r="K105" i="6"/>
  <c r="K105" i="4"/>
  <c r="H105" i="4"/>
  <c r="Y105" i="6" s="1"/>
  <c r="F106" i="6"/>
  <c r="P106" i="4"/>
  <c r="K108" i="6"/>
  <c r="K108" i="4"/>
  <c r="H108" i="4"/>
  <c r="Y108" i="6" s="1"/>
  <c r="F109" i="6"/>
  <c r="P109" i="4"/>
  <c r="K111" i="6"/>
  <c r="H111" i="4"/>
  <c r="Y111" i="6" s="1"/>
  <c r="K111" i="4"/>
  <c r="F112" i="6"/>
  <c r="P112" i="4"/>
  <c r="K114" i="6"/>
  <c r="K114" i="4"/>
  <c r="H114" i="4"/>
  <c r="Y114" i="6" s="1"/>
  <c r="F115" i="6"/>
  <c r="P115" i="4"/>
  <c r="K117" i="6"/>
  <c r="H117" i="4"/>
  <c r="Y117" i="6" s="1"/>
  <c r="K117" i="4"/>
  <c r="F118" i="6"/>
  <c r="P118" i="4"/>
  <c r="K120" i="6"/>
  <c r="K120" i="4"/>
  <c r="H120" i="4"/>
  <c r="Y120" i="6" s="1"/>
  <c r="F121" i="6"/>
  <c r="B2" i="4"/>
  <c r="N2" i="4"/>
  <c r="Q2" i="6" s="1"/>
  <c r="E3" i="4"/>
  <c r="V3" i="6" s="1"/>
  <c r="H4" i="4"/>
  <c r="Y4" i="6" s="1"/>
  <c r="K5" i="4"/>
  <c r="B6" i="4"/>
  <c r="N6" i="4"/>
  <c r="Q6" i="6" s="1"/>
  <c r="E7" i="4"/>
  <c r="V7" i="6" s="1"/>
  <c r="H8" i="4"/>
  <c r="Y8" i="6" s="1"/>
  <c r="K9" i="4"/>
  <c r="B10" i="4"/>
  <c r="N10" i="4"/>
  <c r="Q10" i="6" s="1"/>
  <c r="E11" i="4"/>
  <c r="V11" i="6" s="1"/>
  <c r="H12" i="4"/>
  <c r="Y12" i="6" s="1"/>
  <c r="K13" i="4"/>
  <c r="B14" i="4"/>
  <c r="N14" i="4"/>
  <c r="Q14" i="6" s="1"/>
  <c r="K16" i="4"/>
  <c r="D17" i="4"/>
  <c r="Q17" i="4" s="1"/>
  <c r="I18" i="4"/>
  <c r="L18" i="6" s="1"/>
  <c r="A19" i="4"/>
  <c r="N19" i="4"/>
  <c r="Q19" i="6" s="1"/>
  <c r="K21" i="4"/>
  <c r="C22" i="4"/>
  <c r="P22" i="4"/>
  <c r="H23" i="4"/>
  <c r="Y23" i="6" s="1"/>
  <c r="C24" i="4"/>
  <c r="A26" i="4"/>
  <c r="Q27" i="4"/>
  <c r="E36" i="4"/>
  <c r="V36" i="6" s="1"/>
  <c r="B43" i="4"/>
  <c r="N63" i="4"/>
  <c r="Q63" i="6" s="1"/>
  <c r="K70" i="4"/>
  <c r="H77" i="4"/>
  <c r="Y77" i="6" s="1"/>
  <c r="E84" i="4"/>
  <c r="V84" i="6" s="1"/>
  <c r="B91" i="4"/>
  <c r="U104" i="4"/>
  <c r="O5" i="3"/>
  <c r="U5" i="6" s="1"/>
  <c r="O11" i="3"/>
  <c r="U11" i="6" s="1"/>
  <c r="O17" i="3"/>
  <c r="U17" i="6" s="1"/>
  <c r="O26" i="3"/>
  <c r="U26" i="6" s="1"/>
  <c r="H30" i="6"/>
  <c r="R30" i="4"/>
  <c r="C30" i="4"/>
  <c r="H36" i="6"/>
  <c r="C36" i="4"/>
  <c r="P36" i="4" s="1"/>
  <c r="B36" i="4"/>
  <c r="R36" i="4"/>
  <c r="H39" i="6"/>
  <c r="R39" i="4"/>
  <c r="C39" i="4"/>
  <c r="O41" i="3"/>
  <c r="U41" i="6" s="1"/>
  <c r="H45" i="6"/>
  <c r="R45" i="4"/>
  <c r="C45" i="4"/>
  <c r="P45" i="4" s="1"/>
  <c r="B45" i="4"/>
  <c r="O47" i="3"/>
  <c r="U47" i="6" s="1"/>
  <c r="H51" i="6"/>
  <c r="R51" i="4"/>
  <c r="C51" i="4"/>
  <c r="O53" i="3"/>
  <c r="U53" i="6" s="1"/>
  <c r="H57" i="6"/>
  <c r="R57" i="4"/>
  <c r="C57" i="4"/>
  <c r="B57" i="4"/>
  <c r="O59" i="3"/>
  <c r="U59" i="6" s="1"/>
  <c r="H63" i="6"/>
  <c r="R63" i="4"/>
  <c r="C63" i="4"/>
  <c r="P63" i="4" s="1"/>
  <c r="O65" i="3"/>
  <c r="U65" i="6" s="1"/>
  <c r="H69" i="6"/>
  <c r="R69" i="4"/>
  <c r="C69" i="4"/>
  <c r="P69" i="4" s="1"/>
  <c r="B69" i="4"/>
  <c r="O71" i="3"/>
  <c r="U71" i="6" s="1"/>
  <c r="H75" i="6"/>
  <c r="R75" i="4"/>
  <c r="C75" i="4"/>
  <c r="P75" i="4" s="1"/>
  <c r="O77" i="3"/>
  <c r="U77" i="6" s="1"/>
  <c r="H81" i="6"/>
  <c r="R81" i="4"/>
  <c r="C81" i="4"/>
  <c r="P81" i="4" s="1"/>
  <c r="B81" i="4"/>
  <c r="O83" i="3"/>
  <c r="U83" i="6" s="1"/>
  <c r="H87" i="6"/>
  <c r="R87" i="4"/>
  <c r="C87" i="4"/>
  <c r="O89" i="3"/>
  <c r="U89" i="6" s="1"/>
  <c r="H93" i="6"/>
  <c r="R93" i="4"/>
  <c r="C93" i="4"/>
  <c r="P93" i="4" s="1"/>
  <c r="B93" i="4"/>
  <c r="O95" i="3"/>
  <c r="U95" i="6" s="1"/>
  <c r="H99" i="6"/>
  <c r="R99" i="4"/>
  <c r="C99" i="4"/>
  <c r="O101" i="3"/>
  <c r="U101" i="6" s="1"/>
  <c r="H105" i="6"/>
  <c r="R105" i="4"/>
  <c r="B105" i="4"/>
  <c r="C105" i="4"/>
  <c r="O107" i="3"/>
  <c r="U107" i="6" s="1"/>
  <c r="H111" i="6"/>
  <c r="C111" i="4"/>
  <c r="B111" i="4"/>
  <c r="R111" i="4"/>
  <c r="O113" i="3"/>
  <c r="U113" i="6" s="1"/>
  <c r="O116" i="3"/>
  <c r="U116" i="6" s="1"/>
  <c r="C2" i="4"/>
  <c r="R3" i="4"/>
  <c r="I4" i="4"/>
  <c r="L4" i="6" s="1"/>
  <c r="U4" i="4"/>
  <c r="L5" i="4"/>
  <c r="O5" i="6" s="1"/>
  <c r="C6" i="4"/>
  <c r="R7" i="4"/>
  <c r="I8" i="4"/>
  <c r="L8" i="6" s="1"/>
  <c r="U8" i="4"/>
  <c r="L9" i="4"/>
  <c r="O9" i="6" s="1"/>
  <c r="C10" i="4"/>
  <c r="R11" i="4"/>
  <c r="I12" i="4"/>
  <c r="L12" i="6" s="1"/>
  <c r="U12" i="4"/>
  <c r="L13" i="4"/>
  <c r="O13" i="6" s="1"/>
  <c r="C14" i="4"/>
  <c r="E17" i="4"/>
  <c r="V17" i="6" s="1"/>
  <c r="R17" i="4"/>
  <c r="J18" i="4"/>
  <c r="M18" i="6" s="1"/>
  <c r="B19" i="4"/>
  <c r="L21" i="4"/>
  <c r="O21" i="6" s="1"/>
  <c r="D22" i="4"/>
  <c r="Q22" i="4" s="1"/>
  <c r="K23" i="4"/>
  <c r="D24" i="4"/>
  <c r="Q24" i="4" s="1"/>
  <c r="B26" i="4"/>
  <c r="K30" i="4"/>
  <c r="K50" i="4"/>
  <c r="H57" i="4"/>
  <c r="Y57" i="6" s="1"/>
  <c r="B71" i="4"/>
  <c r="K98" i="4"/>
  <c r="B30" i="7"/>
  <c r="O2" i="3"/>
  <c r="U2" i="6" s="1"/>
  <c r="O8" i="3"/>
  <c r="U8" i="6" s="1"/>
  <c r="O14" i="3"/>
  <c r="U14" i="6" s="1"/>
  <c r="H18" i="6"/>
  <c r="R18" i="4"/>
  <c r="O20" i="3"/>
  <c r="U20" i="6" s="1"/>
  <c r="H21" i="6"/>
  <c r="C21" i="4"/>
  <c r="P21" i="4" s="1"/>
  <c r="O23" i="3"/>
  <c r="U23" i="6" s="1"/>
  <c r="H27" i="6"/>
  <c r="R27" i="4"/>
  <c r="O29" i="3"/>
  <c r="U29" i="6" s="1"/>
  <c r="O32" i="3"/>
  <c r="U32" i="6" s="1"/>
  <c r="H33" i="6"/>
  <c r="R33" i="4"/>
  <c r="C33" i="4"/>
  <c r="P33" i="4" s="1"/>
  <c r="B33" i="4"/>
  <c r="O35" i="3"/>
  <c r="U35" i="6" s="1"/>
  <c r="O38" i="3"/>
  <c r="U38" i="6" s="1"/>
  <c r="H42" i="6"/>
  <c r="R42" i="4"/>
  <c r="C42" i="4"/>
  <c r="B42" i="4"/>
  <c r="O44" i="3"/>
  <c r="U44" i="6" s="1"/>
  <c r="H48" i="6"/>
  <c r="C48" i="4"/>
  <c r="P48" i="4" s="1"/>
  <c r="B48" i="4"/>
  <c r="R48" i="4"/>
  <c r="O50" i="3"/>
  <c r="U50" i="6" s="1"/>
  <c r="H54" i="6"/>
  <c r="R54" i="4"/>
  <c r="C54" i="4"/>
  <c r="B54" i="4"/>
  <c r="O56" i="3"/>
  <c r="U56" i="6" s="1"/>
  <c r="H60" i="6"/>
  <c r="C60" i="4"/>
  <c r="B60" i="4"/>
  <c r="R60" i="4"/>
  <c r="O62" i="3"/>
  <c r="U62" i="6" s="1"/>
  <c r="H66" i="6"/>
  <c r="R66" i="4"/>
  <c r="C66" i="4"/>
  <c r="B66" i="4"/>
  <c r="O68" i="3"/>
  <c r="U68" i="6" s="1"/>
  <c r="H72" i="6"/>
  <c r="C72" i="4"/>
  <c r="B72" i="4"/>
  <c r="R72" i="4"/>
  <c r="O74" i="3"/>
  <c r="U74" i="6" s="1"/>
  <c r="H78" i="6"/>
  <c r="R78" i="4"/>
  <c r="C78" i="4"/>
  <c r="B78" i="4"/>
  <c r="O80" i="3"/>
  <c r="U80" i="6" s="1"/>
  <c r="H84" i="6"/>
  <c r="C84" i="4"/>
  <c r="P84" i="4" s="1"/>
  <c r="B84" i="4"/>
  <c r="R84" i="4"/>
  <c r="O86" i="3"/>
  <c r="U86" i="6" s="1"/>
  <c r="H90" i="6"/>
  <c r="R90" i="4"/>
  <c r="C90" i="4"/>
  <c r="P90" i="4" s="1"/>
  <c r="B90" i="4"/>
  <c r="O92" i="3"/>
  <c r="U92" i="6" s="1"/>
  <c r="H96" i="6"/>
  <c r="C96" i="4"/>
  <c r="P96" i="4" s="1"/>
  <c r="B96" i="4"/>
  <c r="R96" i="4"/>
  <c r="O98" i="3"/>
  <c r="U98" i="6" s="1"/>
  <c r="H102" i="6"/>
  <c r="R102" i="4"/>
  <c r="C102" i="4"/>
  <c r="B102" i="4"/>
  <c r="O104" i="3"/>
  <c r="U104" i="6" s="1"/>
  <c r="H108" i="6"/>
  <c r="R108" i="4"/>
  <c r="C108" i="4"/>
  <c r="P108" i="4" s="1"/>
  <c r="B108" i="4"/>
  <c r="O110" i="3"/>
  <c r="U110" i="6" s="1"/>
  <c r="H114" i="6"/>
  <c r="C114" i="4"/>
  <c r="B114" i="4"/>
  <c r="R114" i="4"/>
  <c r="H117" i="6"/>
  <c r="R117" i="4"/>
  <c r="B117" i="4"/>
  <c r="O119" i="3"/>
  <c r="U119" i="6" s="1"/>
  <c r="H120" i="6"/>
  <c r="R120" i="4"/>
  <c r="C120" i="4"/>
  <c r="P120" i="4" s="1"/>
  <c r="B120" i="4"/>
  <c r="B13" i="5"/>
  <c r="C12" i="5"/>
  <c r="D11" i="5"/>
  <c r="E10" i="5"/>
  <c r="F9" i="5"/>
  <c r="G8" i="5"/>
  <c r="H7" i="5"/>
  <c r="B12" i="5"/>
  <c r="C11" i="5"/>
  <c r="D10" i="5"/>
  <c r="L10" i="5" s="1"/>
  <c r="E9" i="5"/>
  <c r="F8" i="5"/>
  <c r="G7" i="5"/>
  <c r="H6" i="5"/>
  <c r="B11" i="5"/>
  <c r="C10" i="5"/>
  <c r="D9" i="5"/>
  <c r="E8" i="5"/>
  <c r="F7" i="5"/>
  <c r="G6" i="5"/>
  <c r="H5" i="5"/>
  <c r="H16" i="5"/>
  <c r="B10" i="5"/>
  <c r="C9" i="5"/>
  <c r="D8" i="5"/>
  <c r="L8" i="5" s="1"/>
  <c r="E7" i="5"/>
  <c r="F6" i="5"/>
  <c r="G5" i="5"/>
  <c r="H4" i="5"/>
  <c r="G16" i="5"/>
  <c r="H15" i="5"/>
  <c r="B9" i="5"/>
  <c r="C8" i="5"/>
  <c r="D7" i="5"/>
  <c r="E6" i="5"/>
  <c r="F5" i="5"/>
  <c r="G4" i="5"/>
  <c r="H3" i="5"/>
  <c r="D2" i="6"/>
  <c r="F16" i="5"/>
  <c r="G15" i="5"/>
  <c r="H14" i="5"/>
  <c r="B8" i="5"/>
  <c r="C7" i="5"/>
  <c r="D6" i="5"/>
  <c r="L6" i="5" s="1"/>
  <c r="E5" i="5"/>
  <c r="F4" i="5"/>
  <c r="G3" i="5"/>
  <c r="H2" i="5"/>
  <c r="E16" i="5"/>
  <c r="D16" i="5"/>
  <c r="E15" i="5"/>
  <c r="F14" i="5"/>
  <c r="G13" i="5"/>
  <c r="H12" i="5"/>
  <c r="B6" i="5"/>
  <c r="C5" i="5"/>
  <c r="D4" i="5"/>
  <c r="L4" i="5" s="1"/>
  <c r="E3" i="5"/>
  <c r="F2" i="5"/>
  <c r="C16" i="5"/>
  <c r="D15" i="5"/>
  <c r="L15" i="5" s="1"/>
  <c r="E14" i="5"/>
  <c r="F13" i="5"/>
  <c r="G12" i="5"/>
  <c r="H11" i="5"/>
  <c r="B5" i="5"/>
  <c r="C4" i="5"/>
  <c r="D3" i="5"/>
  <c r="L3" i="5" s="1"/>
  <c r="B16" i="5"/>
  <c r="C15" i="5"/>
  <c r="D14" i="5"/>
  <c r="E13" i="5"/>
  <c r="F12" i="5"/>
  <c r="G11" i="5"/>
  <c r="H10" i="5"/>
  <c r="B4" i="5"/>
  <c r="C3" i="5"/>
  <c r="D2" i="5"/>
  <c r="L2" i="5" s="1"/>
  <c r="B15" i="5"/>
  <c r="C14" i="5"/>
  <c r="D13" i="5"/>
  <c r="L13" i="5" s="1"/>
  <c r="E12" i="5"/>
  <c r="F11" i="5"/>
  <c r="G10" i="5"/>
  <c r="H9" i="5"/>
  <c r="B3" i="5"/>
  <c r="C2" i="5"/>
  <c r="B14" i="5"/>
  <c r="C13" i="5"/>
  <c r="D12" i="5"/>
  <c r="L12" i="5" s="1"/>
  <c r="E11" i="5"/>
  <c r="F10" i="5"/>
  <c r="G9" i="5"/>
  <c r="H8" i="5"/>
  <c r="B2" i="5"/>
  <c r="B7" i="5"/>
  <c r="C6" i="5"/>
  <c r="D5" i="5"/>
  <c r="L5" i="5" s="1"/>
  <c r="F15" i="5"/>
  <c r="E4" i="5"/>
  <c r="G14" i="5"/>
  <c r="F3" i="5"/>
  <c r="H13" i="5"/>
  <c r="G2" i="5"/>
  <c r="E2" i="5"/>
  <c r="R15" i="6"/>
  <c r="U15" i="4"/>
  <c r="I16" i="6"/>
  <c r="L16" i="4"/>
  <c r="O16" i="6" s="1"/>
  <c r="I25" i="6"/>
  <c r="E25" i="4"/>
  <c r="V25" i="6" s="1"/>
  <c r="N25" i="4"/>
  <c r="Q25" i="6" s="1"/>
  <c r="M25" i="4"/>
  <c r="P25" i="6" s="1"/>
  <c r="R27" i="6"/>
  <c r="U27" i="4"/>
  <c r="I28" i="6"/>
  <c r="N28" i="4"/>
  <c r="Q28" i="6" s="1"/>
  <c r="M28" i="4"/>
  <c r="P28" i="6" s="1"/>
  <c r="L28" i="4"/>
  <c r="O28" i="6" s="1"/>
  <c r="J28" i="4"/>
  <c r="M28" i="6" s="1"/>
  <c r="R30" i="6"/>
  <c r="U30" i="4"/>
  <c r="I31" i="6"/>
  <c r="M31" i="4"/>
  <c r="P31" i="6" s="1"/>
  <c r="L31" i="4"/>
  <c r="O31" i="6" s="1"/>
  <c r="J31" i="4"/>
  <c r="M31" i="6" s="1"/>
  <c r="E31" i="4"/>
  <c r="V31" i="6" s="1"/>
  <c r="R33" i="6"/>
  <c r="U33" i="4"/>
  <c r="I34" i="6"/>
  <c r="J34" i="4"/>
  <c r="M34" i="6" s="1"/>
  <c r="E34" i="4"/>
  <c r="V34" i="6" s="1"/>
  <c r="N34" i="4"/>
  <c r="Q34" i="6" s="1"/>
  <c r="M34" i="4"/>
  <c r="P34" i="6" s="1"/>
  <c r="L34" i="4"/>
  <c r="O34" i="6" s="1"/>
  <c r="R36" i="6"/>
  <c r="U36" i="4"/>
  <c r="I37" i="6"/>
  <c r="E37" i="4"/>
  <c r="V37" i="6" s="1"/>
  <c r="N37" i="4"/>
  <c r="Q37" i="6" s="1"/>
  <c r="M37" i="4"/>
  <c r="P37" i="6" s="1"/>
  <c r="L37" i="4"/>
  <c r="O37" i="6" s="1"/>
  <c r="J37" i="4"/>
  <c r="M37" i="6" s="1"/>
  <c r="R39" i="6"/>
  <c r="U39" i="4"/>
  <c r="I40" i="6"/>
  <c r="N40" i="4"/>
  <c r="Q40" i="6" s="1"/>
  <c r="M40" i="4"/>
  <c r="P40" i="6" s="1"/>
  <c r="L40" i="4"/>
  <c r="O40" i="6" s="1"/>
  <c r="J40" i="4"/>
  <c r="M40" i="6" s="1"/>
  <c r="R42" i="6"/>
  <c r="U42" i="4"/>
  <c r="I43" i="6"/>
  <c r="M43" i="4"/>
  <c r="P43" i="6" s="1"/>
  <c r="L43" i="4"/>
  <c r="O43" i="6" s="1"/>
  <c r="J43" i="4"/>
  <c r="M43" i="6" s="1"/>
  <c r="E43" i="4"/>
  <c r="V43" i="6" s="1"/>
  <c r="R45" i="6"/>
  <c r="U45" i="4"/>
  <c r="I46" i="6"/>
  <c r="J46" i="4"/>
  <c r="M46" i="6" s="1"/>
  <c r="E46" i="4"/>
  <c r="V46" i="6" s="1"/>
  <c r="N46" i="4"/>
  <c r="Q46" i="6" s="1"/>
  <c r="M46" i="4"/>
  <c r="P46" i="6" s="1"/>
  <c r="L46" i="4"/>
  <c r="O46" i="6" s="1"/>
  <c r="R48" i="6"/>
  <c r="U48" i="4"/>
  <c r="I49" i="6"/>
  <c r="E49" i="4"/>
  <c r="V49" i="6" s="1"/>
  <c r="N49" i="4"/>
  <c r="Q49" i="6" s="1"/>
  <c r="M49" i="4"/>
  <c r="P49" i="6" s="1"/>
  <c r="L49" i="4"/>
  <c r="O49" i="6" s="1"/>
  <c r="J49" i="4"/>
  <c r="M49" i="6" s="1"/>
  <c r="R51" i="6"/>
  <c r="U51" i="4"/>
  <c r="I52" i="6"/>
  <c r="N52" i="4"/>
  <c r="Q52" i="6" s="1"/>
  <c r="M52" i="4"/>
  <c r="P52" i="6" s="1"/>
  <c r="L52" i="4"/>
  <c r="O52" i="6" s="1"/>
  <c r="J52" i="4"/>
  <c r="M52" i="6" s="1"/>
  <c r="R54" i="6"/>
  <c r="U54" i="4"/>
  <c r="I55" i="6"/>
  <c r="M55" i="4"/>
  <c r="P55" i="6" s="1"/>
  <c r="L55" i="4"/>
  <c r="O55" i="6" s="1"/>
  <c r="J55" i="4"/>
  <c r="M55" i="6" s="1"/>
  <c r="E55" i="4"/>
  <c r="V55" i="6" s="1"/>
  <c r="R57" i="6"/>
  <c r="U57" i="4"/>
  <c r="I58" i="6"/>
  <c r="J58" i="4"/>
  <c r="M58" i="6" s="1"/>
  <c r="E58" i="4"/>
  <c r="V58" i="6" s="1"/>
  <c r="N58" i="4"/>
  <c r="Q58" i="6" s="1"/>
  <c r="M58" i="4"/>
  <c r="P58" i="6" s="1"/>
  <c r="L58" i="4"/>
  <c r="O58" i="6" s="1"/>
  <c r="R60" i="6"/>
  <c r="U60" i="4"/>
  <c r="I61" i="6"/>
  <c r="E61" i="4"/>
  <c r="V61" i="6" s="1"/>
  <c r="N61" i="4"/>
  <c r="Q61" i="6" s="1"/>
  <c r="M61" i="4"/>
  <c r="P61" i="6" s="1"/>
  <c r="L61" i="4"/>
  <c r="O61" i="6" s="1"/>
  <c r="J61" i="4"/>
  <c r="M61" i="6" s="1"/>
  <c r="R63" i="6"/>
  <c r="U63" i="4"/>
  <c r="I64" i="6"/>
  <c r="N64" i="4"/>
  <c r="Q64" i="6" s="1"/>
  <c r="M64" i="4"/>
  <c r="P64" i="6" s="1"/>
  <c r="L64" i="4"/>
  <c r="O64" i="6" s="1"/>
  <c r="J64" i="4"/>
  <c r="M64" i="6" s="1"/>
  <c r="R66" i="6"/>
  <c r="U66" i="4"/>
  <c r="I67" i="6"/>
  <c r="M67" i="4"/>
  <c r="P67" i="6" s="1"/>
  <c r="L67" i="4"/>
  <c r="O67" i="6" s="1"/>
  <c r="J67" i="4"/>
  <c r="M67" i="6" s="1"/>
  <c r="E67" i="4"/>
  <c r="V67" i="6" s="1"/>
  <c r="R69" i="6"/>
  <c r="U69" i="4"/>
  <c r="I70" i="6"/>
  <c r="J70" i="4"/>
  <c r="M70" i="6" s="1"/>
  <c r="E70" i="4"/>
  <c r="V70" i="6" s="1"/>
  <c r="N70" i="4"/>
  <c r="Q70" i="6" s="1"/>
  <c r="M70" i="4"/>
  <c r="P70" i="6" s="1"/>
  <c r="L70" i="4"/>
  <c r="O70" i="6" s="1"/>
  <c r="R72" i="6"/>
  <c r="U72" i="4"/>
  <c r="I73" i="6"/>
  <c r="E73" i="4"/>
  <c r="V73" i="6" s="1"/>
  <c r="N73" i="4"/>
  <c r="Q73" i="6" s="1"/>
  <c r="M73" i="4"/>
  <c r="P73" i="6" s="1"/>
  <c r="L73" i="4"/>
  <c r="O73" i="6" s="1"/>
  <c r="J73" i="4"/>
  <c r="M73" i="6" s="1"/>
  <c r="R75" i="6"/>
  <c r="U75" i="4"/>
  <c r="I76" i="6"/>
  <c r="N76" i="4"/>
  <c r="Q76" i="6" s="1"/>
  <c r="M76" i="4"/>
  <c r="P76" i="6" s="1"/>
  <c r="L76" i="4"/>
  <c r="O76" i="6" s="1"/>
  <c r="J76" i="4"/>
  <c r="M76" i="6" s="1"/>
  <c r="R78" i="6"/>
  <c r="U78" i="4"/>
  <c r="I79" i="6"/>
  <c r="M79" i="4"/>
  <c r="P79" i="6" s="1"/>
  <c r="L79" i="4"/>
  <c r="O79" i="6" s="1"/>
  <c r="J79" i="4"/>
  <c r="M79" i="6" s="1"/>
  <c r="E79" i="4"/>
  <c r="V79" i="6" s="1"/>
  <c r="R81" i="6"/>
  <c r="U81" i="4"/>
  <c r="I82" i="6"/>
  <c r="J82" i="4"/>
  <c r="M82" i="6" s="1"/>
  <c r="E82" i="4"/>
  <c r="V82" i="6" s="1"/>
  <c r="N82" i="4"/>
  <c r="Q82" i="6" s="1"/>
  <c r="M82" i="4"/>
  <c r="P82" i="6" s="1"/>
  <c r="L82" i="4"/>
  <c r="O82" i="6" s="1"/>
  <c r="R84" i="6"/>
  <c r="U84" i="4"/>
  <c r="I85" i="6"/>
  <c r="E85" i="4"/>
  <c r="V85" i="6" s="1"/>
  <c r="N85" i="4"/>
  <c r="Q85" i="6" s="1"/>
  <c r="M85" i="4"/>
  <c r="P85" i="6" s="1"/>
  <c r="L85" i="4"/>
  <c r="O85" i="6" s="1"/>
  <c r="J85" i="4"/>
  <c r="M85" i="6" s="1"/>
  <c r="R87" i="6"/>
  <c r="U87" i="4"/>
  <c r="I88" i="6"/>
  <c r="N88" i="4"/>
  <c r="Q88" i="6" s="1"/>
  <c r="M88" i="4"/>
  <c r="P88" i="6" s="1"/>
  <c r="L88" i="4"/>
  <c r="O88" i="6" s="1"/>
  <c r="J88" i="4"/>
  <c r="M88" i="6" s="1"/>
  <c r="R90" i="6"/>
  <c r="U90" i="4"/>
  <c r="I91" i="6"/>
  <c r="M91" i="4"/>
  <c r="P91" i="6" s="1"/>
  <c r="L91" i="4"/>
  <c r="O91" i="6" s="1"/>
  <c r="J91" i="4"/>
  <c r="M91" i="6" s="1"/>
  <c r="E91" i="4"/>
  <c r="V91" i="6" s="1"/>
  <c r="R93" i="6"/>
  <c r="U93" i="4"/>
  <c r="I94" i="6"/>
  <c r="J94" i="4"/>
  <c r="M94" i="6" s="1"/>
  <c r="E94" i="4"/>
  <c r="V94" i="6" s="1"/>
  <c r="N94" i="4"/>
  <c r="Q94" i="6" s="1"/>
  <c r="M94" i="4"/>
  <c r="P94" i="6" s="1"/>
  <c r="L94" i="4"/>
  <c r="O94" i="6" s="1"/>
  <c r="R96" i="6"/>
  <c r="U96" i="4"/>
  <c r="I97" i="6"/>
  <c r="E97" i="4"/>
  <c r="V97" i="6" s="1"/>
  <c r="N97" i="4"/>
  <c r="Q97" i="6" s="1"/>
  <c r="M97" i="4"/>
  <c r="P97" i="6" s="1"/>
  <c r="L97" i="4"/>
  <c r="O97" i="6" s="1"/>
  <c r="J97" i="4"/>
  <c r="M97" i="6" s="1"/>
  <c r="R99" i="6"/>
  <c r="U99" i="4"/>
  <c r="I100" i="6"/>
  <c r="N100" i="4"/>
  <c r="Q100" i="6" s="1"/>
  <c r="M100" i="4"/>
  <c r="P100" i="6" s="1"/>
  <c r="L100" i="4"/>
  <c r="O100" i="6" s="1"/>
  <c r="J100" i="4"/>
  <c r="M100" i="6" s="1"/>
  <c r="R102" i="6"/>
  <c r="U102" i="4"/>
  <c r="I103" i="6"/>
  <c r="M103" i="4"/>
  <c r="P103" i="6" s="1"/>
  <c r="L103" i="4"/>
  <c r="O103" i="6" s="1"/>
  <c r="J103" i="4"/>
  <c r="M103" i="6" s="1"/>
  <c r="E103" i="4"/>
  <c r="V103" i="6" s="1"/>
  <c r="R105" i="6"/>
  <c r="U105" i="4"/>
  <c r="I106" i="6"/>
  <c r="E106" i="4"/>
  <c r="V106" i="6" s="1"/>
  <c r="N106" i="4"/>
  <c r="Q106" i="6" s="1"/>
  <c r="M106" i="4"/>
  <c r="P106" i="6" s="1"/>
  <c r="L106" i="4"/>
  <c r="O106" i="6" s="1"/>
  <c r="J106" i="4"/>
  <c r="M106" i="6" s="1"/>
  <c r="I109" i="6"/>
  <c r="N109" i="4"/>
  <c r="Q109" i="6" s="1"/>
  <c r="J109" i="4"/>
  <c r="M109" i="6" s="1"/>
  <c r="M109" i="4"/>
  <c r="P109" i="6" s="1"/>
  <c r="L109" i="4"/>
  <c r="O109" i="6" s="1"/>
  <c r="E109" i="4"/>
  <c r="V109" i="6" s="1"/>
  <c r="R111" i="6"/>
  <c r="U111" i="4"/>
  <c r="I112" i="6"/>
  <c r="E112" i="4"/>
  <c r="V112" i="6" s="1"/>
  <c r="N112" i="4"/>
  <c r="Q112" i="6" s="1"/>
  <c r="M112" i="4"/>
  <c r="P112" i="6" s="1"/>
  <c r="L112" i="4"/>
  <c r="O112" i="6" s="1"/>
  <c r="J112" i="4"/>
  <c r="M112" i="6" s="1"/>
  <c r="R114" i="6"/>
  <c r="U114" i="4"/>
  <c r="I115" i="6"/>
  <c r="N115" i="4"/>
  <c r="Q115" i="6" s="1"/>
  <c r="M115" i="4"/>
  <c r="P115" i="6" s="1"/>
  <c r="L115" i="4"/>
  <c r="O115" i="6" s="1"/>
  <c r="J115" i="4"/>
  <c r="M115" i="6" s="1"/>
  <c r="E115" i="4"/>
  <c r="V115" i="6" s="1"/>
  <c r="R117" i="6"/>
  <c r="U117" i="4"/>
  <c r="I118" i="6"/>
  <c r="L118" i="4"/>
  <c r="O118" i="6" s="1"/>
  <c r="J118" i="4"/>
  <c r="M118" i="6" s="1"/>
  <c r="E118" i="4"/>
  <c r="V118" i="6" s="1"/>
  <c r="N118" i="4"/>
  <c r="Q118" i="6" s="1"/>
  <c r="M118" i="4"/>
  <c r="P118" i="6" s="1"/>
  <c r="R120" i="6"/>
  <c r="U120" i="4"/>
  <c r="I121" i="6"/>
  <c r="E121" i="4"/>
  <c r="V121" i="6" s="1"/>
  <c r="N121" i="4"/>
  <c r="Q121" i="6" s="1"/>
  <c r="L121" i="4"/>
  <c r="O121" i="6" s="1"/>
  <c r="J121" i="4"/>
  <c r="M121" i="6" s="1"/>
  <c r="M121" i="4"/>
  <c r="P121" i="6" s="1"/>
  <c r="D2" i="4"/>
  <c r="P2" i="4"/>
  <c r="J4" i="4"/>
  <c r="M4" i="6" s="1"/>
  <c r="A5" i="4"/>
  <c r="M5" i="4"/>
  <c r="P5" i="6" s="1"/>
  <c r="D6" i="4"/>
  <c r="Q6" i="4" s="1"/>
  <c r="P6" i="4"/>
  <c r="J8" i="4"/>
  <c r="M8" i="6" s="1"/>
  <c r="A9" i="4"/>
  <c r="M9" i="4"/>
  <c r="P9" i="6" s="1"/>
  <c r="D10" i="4"/>
  <c r="P10" i="4"/>
  <c r="J12" i="4"/>
  <c r="M12" i="6" s="1"/>
  <c r="A13" i="4"/>
  <c r="M13" i="4"/>
  <c r="P13" i="6" s="1"/>
  <c r="D14" i="4"/>
  <c r="P14" i="4"/>
  <c r="H15" i="4"/>
  <c r="Y15" i="6" s="1"/>
  <c r="A16" i="4"/>
  <c r="N16" i="4"/>
  <c r="Q16" i="6" s="1"/>
  <c r="K18" i="4"/>
  <c r="C19" i="4"/>
  <c r="P19" i="4"/>
  <c r="H20" i="4"/>
  <c r="Y20" i="6" s="1"/>
  <c r="U20" i="4"/>
  <c r="M21" i="4"/>
  <c r="P21" i="6" s="1"/>
  <c r="E22" i="4"/>
  <c r="V22" i="6" s="1"/>
  <c r="L23" i="4"/>
  <c r="O23" i="6" s="1"/>
  <c r="E24" i="4"/>
  <c r="V24" i="6" s="1"/>
  <c r="U24" i="4"/>
  <c r="K26" i="4"/>
  <c r="N30" i="4"/>
  <c r="Q30" i="6" s="1"/>
  <c r="H37" i="4"/>
  <c r="Y37" i="6" s="1"/>
  <c r="E44" i="4"/>
  <c r="V44" i="6" s="1"/>
  <c r="B51" i="4"/>
  <c r="N71" i="4"/>
  <c r="Q71" i="6" s="1"/>
  <c r="K78" i="4"/>
  <c r="H85" i="4"/>
  <c r="Y85" i="6" s="1"/>
  <c r="E92" i="4"/>
  <c r="V92" i="6" s="1"/>
  <c r="B99" i="4"/>
  <c r="H106" i="4"/>
  <c r="Y106" i="6" s="1"/>
  <c r="J11" i="5" l="1"/>
  <c r="J14" i="5"/>
  <c r="J5" i="5"/>
  <c r="J12" i="5"/>
  <c r="J10" i="5"/>
  <c r="Q97" i="4"/>
  <c r="J9" i="5"/>
  <c r="J8" i="5"/>
  <c r="J13" i="5"/>
  <c r="J3" i="5"/>
  <c r="J2" i="5"/>
  <c r="J4" i="5"/>
  <c r="J6" i="5"/>
  <c r="J16" i="5"/>
  <c r="AH7" i="6"/>
  <c r="AI7" i="6"/>
  <c r="K10" i="5"/>
  <c r="AK117" i="6"/>
  <c r="AJ117" i="6"/>
  <c r="AK60" i="6"/>
  <c r="AJ60" i="6"/>
  <c r="AI23" i="6"/>
  <c r="AH23" i="6"/>
  <c r="AK102" i="6"/>
  <c r="AJ102" i="6"/>
  <c r="AK81" i="6"/>
  <c r="AJ81" i="6"/>
  <c r="AK30" i="6"/>
  <c r="AJ30" i="6"/>
  <c r="AH83" i="6"/>
  <c r="AI83" i="6"/>
  <c r="AI68" i="6"/>
  <c r="AH68" i="6"/>
  <c r="AK113" i="6"/>
  <c r="AJ113" i="6"/>
  <c r="AK92" i="6"/>
  <c r="AJ92" i="6"/>
  <c r="AI96" i="6"/>
  <c r="AH96" i="6"/>
  <c r="AI12" i="6"/>
  <c r="AH12" i="6"/>
  <c r="AK6" i="6"/>
  <c r="AJ6" i="6"/>
  <c r="AI63" i="6"/>
  <c r="AH63" i="6"/>
  <c r="AI93" i="6"/>
  <c r="AH93" i="6"/>
  <c r="AI45" i="6"/>
  <c r="AH45" i="6"/>
  <c r="AK87" i="6"/>
  <c r="AJ87" i="6"/>
  <c r="AI89" i="6"/>
  <c r="AH89" i="6"/>
  <c r="AI36" i="6"/>
  <c r="AH36" i="6"/>
  <c r="AI35" i="6"/>
  <c r="AH35" i="6"/>
  <c r="AJ107" i="6"/>
  <c r="AK107" i="6"/>
  <c r="AH108" i="6"/>
  <c r="AI108" i="6"/>
  <c r="AI33" i="6"/>
  <c r="AH33" i="6"/>
  <c r="AI90" i="6"/>
  <c r="AH90" i="6"/>
  <c r="AI48" i="6"/>
  <c r="AH48" i="6"/>
  <c r="AI75" i="6"/>
  <c r="AH75" i="6"/>
  <c r="AJ108" i="6"/>
  <c r="AK108" i="6"/>
  <c r="AK16" i="6"/>
  <c r="AJ16" i="6"/>
  <c r="AK88" i="6"/>
  <c r="AJ88" i="6"/>
  <c r="AK52" i="6"/>
  <c r="AJ52" i="6"/>
  <c r="AK72" i="6"/>
  <c r="AJ72" i="6"/>
  <c r="AI119" i="6"/>
  <c r="AH119" i="6"/>
  <c r="AI16" i="6"/>
  <c r="AH16" i="6"/>
  <c r="AI5" i="6"/>
  <c r="AH5" i="6"/>
  <c r="AI62" i="6"/>
  <c r="AH62" i="6"/>
  <c r="AH120" i="6"/>
  <c r="AI120" i="6"/>
  <c r="AK111" i="6"/>
  <c r="AJ111" i="6"/>
  <c r="AI107" i="6"/>
  <c r="AH107" i="6"/>
  <c r="AI53" i="6"/>
  <c r="AH53" i="6"/>
  <c r="AI26" i="6"/>
  <c r="AH26" i="6"/>
  <c r="AK110" i="6"/>
  <c r="AJ110" i="6"/>
  <c r="AJ89" i="6"/>
  <c r="AK89" i="6"/>
  <c r="AI88" i="6"/>
  <c r="AH88" i="6"/>
  <c r="AI81" i="6"/>
  <c r="AH81" i="6"/>
  <c r="AI41" i="6"/>
  <c r="AH41" i="6"/>
  <c r="AI15" i="6"/>
  <c r="AH15" i="6"/>
  <c r="AK95" i="6"/>
  <c r="AJ95" i="6"/>
  <c r="AJ100" i="6"/>
  <c r="AK100" i="6"/>
  <c r="AK24" i="6"/>
  <c r="AJ24" i="6"/>
  <c r="AI69" i="6"/>
  <c r="AH69" i="6"/>
  <c r="AK105" i="6"/>
  <c r="AJ105" i="6"/>
  <c r="AI113" i="6"/>
  <c r="AH113" i="6"/>
  <c r="AK8" i="6"/>
  <c r="AJ8" i="6"/>
  <c r="AI84" i="6"/>
  <c r="AH84" i="6"/>
  <c r="AI21" i="6"/>
  <c r="AH21" i="6"/>
  <c r="AI17" i="6"/>
  <c r="AH17" i="6"/>
  <c r="AH95" i="6"/>
  <c r="AI95" i="6"/>
  <c r="AI80" i="6"/>
  <c r="AH80" i="6"/>
  <c r="AI65" i="6"/>
  <c r="AH65" i="6"/>
  <c r="AI38" i="6"/>
  <c r="AH38" i="6"/>
  <c r="AK116" i="6"/>
  <c r="AJ116" i="6"/>
  <c r="AK80" i="6"/>
  <c r="AJ80" i="6"/>
  <c r="AK44" i="6"/>
  <c r="AJ44" i="6"/>
  <c r="AH91" i="6"/>
  <c r="AI91" i="6"/>
  <c r="AI86" i="6"/>
  <c r="AH86" i="6"/>
  <c r="AJ101" i="6"/>
  <c r="AK101" i="6"/>
  <c r="AA99" i="6"/>
  <c r="Z99" i="6"/>
  <c r="T99" i="4"/>
  <c r="S99" i="4"/>
  <c r="G99" i="4"/>
  <c r="X99" i="6" s="1"/>
  <c r="F99" i="4"/>
  <c r="W99" i="6" s="1"/>
  <c r="AI2" i="6"/>
  <c r="AH2" i="6"/>
  <c r="L9" i="5"/>
  <c r="AC102" i="6"/>
  <c r="AB102" i="6"/>
  <c r="AM72" i="6"/>
  <c r="AL72" i="6"/>
  <c r="AC60" i="6"/>
  <c r="AB60" i="6"/>
  <c r="AK36" i="6"/>
  <c r="AJ36" i="6"/>
  <c r="AC14" i="6"/>
  <c r="AB14" i="6"/>
  <c r="AA105" i="6"/>
  <c r="Z105" i="6"/>
  <c r="F105" i="4"/>
  <c r="W105" i="6" s="1"/>
  <c r="G105" i="4"/>
  <c r="X105" i="6" s="1"/>
  <c r="T105" i="4"/>
  <c r="S105" i="4"/>
  <c r="AC57" i="6"/>
  <c r="AB57" i="6"/>
  <c r="AE17" i="6"/>
  <c r="AD17" i="6"/>
  <c r="O17" i="4"/>
  <c r="AK7" i="6"/>
  <c r="AJ7" i="6"/>
  <c r="AK82" i="6"/>
  <c r="AJ82" i="6"/>
  <c r="AK61" i="6"/>
  <c r="AJ61" i="6"/>
  <c r="AI40" i="6"/>
  <c r="AH40" i="6"/>
  <c r="AK34" i="6"/>
  <c r="AJ34" i="6"/>
  <c r="AI11" i="6"/>
  <c r="AH11" i="6"/>
  <c r="AD114" i="6"/>
  <c r="AE114" i="6"/>
  <c r="O114" i="4"/>
  <c r="AE93" i="6"/>
  <c r="AD93" i="6"/>
  <c r="O93" i="4"/>
  <c r="AE78" i="6"/>
  <c r="AD78" i="6"/>
  <c r="O78" i="4"/>
  <c r="AE57" i="6"/>
  <c r="AD57" i="6"/>
  <c r="O57" i="4"/>
  <c r="AE42" i="6"/>
  <c r="AD42" i="6"/>
  <c r="O42" i="4"/>
  <c r="AM83" i="6"/>
  <c r="AL83" i="6"/>
  <c r="AC47" i="6"/>
  <c r="AB47" i="6"/>
  <c r="AC20" i="6"/>
  <c r="AB20" i="6"/>
  <c r="AM113" i="6"/>
  <c r="AL113" i="6"/>
  <c r="AB104" i="6"/>
  <c r="AC104" i="6"/>
  <c r="AM95" i="6"/>
  <c r="AL95" i="6"/>
  <c r="AM65" i="6"/>
  <c r="AL65" i="6"/>
  <c r="AA50" i="6"/>
  <c r="Z50" i="6"/>
  <c r="T50" i="4"/>
  <c r="S50" i="4"/>
  <c r="G50" i="4"/>
  <c r="X50" i="6" s="1"/>
  <c r="F50" i="4"/>
  <c r="W50" i="6" s="1"/>
  <c r="AM38" i="6"/>
  <c r="AL38" i="6"/>
  <c r="Z15" i="6"/>
  <c r="AA15" i="6"/>
  <c r="T15" i="4"/>
  <c r="G15" i="4"/>
  <c r="X15" i="6" s="1"/>
  <c r="S15" i="4"/>
  <c r="F15" i="4"/>
  <c r="W15" i="6" s="1"/>
  <c r="AI4" i="6"/>
  <c r="AH4" i="6"/>
  <c r="Q78" i="4"/>
  <c r="Q57" i="4"/>
  <c r="AE98" i="6"/>
  <c r="AD98" i="6"/>
  <c r="O98" i="4"/>
  <c r="AD77" i="6"/>
  <c r="AE77" i="6"/>
  <c r="O77" i="4"/>
  <c r="AE62" i="6"/>
  <c r="AD62" i="6"/>
  <c r="O62" i="4"/>
  <c r="AD41" i="6"/>
  <c r="AE41" i="6"/>
  <c r="O41" i="4"/>
  <c r="AE26" i="6"/>
  <c r="AD26" i="6"/>
  <c r="O26" i="4"/>
  <c r="AC76" i="6"/>
  <c r="AB76" i="6"/>
  <c r="AC61" i="6"/>
  <c r="AB61" i="6"/>
  <c r="AC34" i="6"/>
  <c r="AB34" i="6"/>
  <c r="AE9" i="6"/>
  <c r="AD9" i="6"/>
  <c r="O9" i="4"/>
  <c r="AA64" i="6"/>
  <c r="Z64" i="6"/>
  <c r="T64" i="4"/>
  <c r="S64" i="4"/>
  <c r="G64" i="4"/>
  <c r="X64" i="6" s="1"/>
  <c r="F64" i="4"/>
  <c r="W64" i="6" s="1"/>
  <c r="AM28" i="6"/>
  <c r="AL28" i="6"/>
  <c r="AA16" i="6"/>
  <c r="Z16" i="6"/>
  <c r="T16" i="4"/>
  <c r="G16" i="4"/>
  <c r="X16" i="6" s="1"/>
  <c r="S16" i="4"/>
  <c r="F16" i="4"/>
  <c r="W16" i="6" s="1"/>
  <c r="AE91" i="6"/>
  <c r="AD91" i="6"/>
  <c r="O91" i="4"/>
  <c r="AE55" i="6"/>
  <c r="AD55" i="6"/>
  <c r="O55" i="4"/>
  <c r="AE25" i="6"/>
  <c r="AD25" i="6"/>
  <c r="O25" i="4"/>
  <c r="AO39" i="6"/>
  <c r="AN39" i="6"/>
  <c r="L11" i="5"/>
  <c r="AM114" i="6"/>
  <c r="AL114" i="6"/>
  <c r="AL102" i="6"/>
  <c r="AM102" i="6"/>
  <c r="AA72" i="6"/>
  <c r="Z72" i="6"/>
  <c r="T72" i="4"/>
  <c r="S72" i="4"/>
  <c r="G72" i="4"/>
  <c r="X72" i="6" s="1"/>
  <c r="F72" i="4"/>
  <c r="W72" i="6" s="1"/>
  <c r="AA42" i="6"/>
  <c r="Z42" i="6"/>
  <c r="T42" i="4"/>
  <c r="S42" i="4"/>
  <c r="G42" i="4"/>
  <c r="X42" i="6" s="1"/>
  <c r="F42" i="4"/>
  <c r="W42" i="6" s="1"/>
  <c r="AL27" i="6"/>
  <c r="AM27" i="6"/>
  <c r="AM105" i="6"/>
  <c r="AL105" i="6"/>
  <c r="AC87" i="6"/>
  <c r="AB87" i="6"/>
  <c r="AL57" i="6"/>
  <c r="AM57" i="6"/>
  <c r="AC39" i="6"/>
  <c r="AB39" i="6"/>
  <c r="AK27" i="6"/>
  <c r="AJ27" i="6"/>
  <c r="AI67" i="6"/>
  <c r="AH67" i="6"/>
  <c r="AD11" i="6"/>
  <c r="AE11" i="6"/>
  <c r="O11" i="4"/>
  <c r="AE99" i="6"/>
  <c r="AD99" i="6"/>
  <c r="O99" i="4"/>
  <c r="AE63" i="6"/>
  <c r="AD63" i="6"/>
  <c r="O63" i="4"/>
  <c r="AM4" i="6"/>
  <c r="AL4" i="6"/>
  <c r="AM47" i="6"/>
  <c r="AL47" i="6"/>
  <c r="AA29" i="6"/>
  <c r="Z29" i="6"/>
  <c r="S29" i="4"/>
  <c r="G29" i="4"/>
  <c r="X29" i="6" s="1"/>
  <c r="F29" i="4"/>
  <c r="W29" i="6" s="1"/>
  <c r="T29" i="4"/>
  <c r="AA11" i="6"/>
  <c r="Z11" i="6"/>
  <c r="S11" i="4"/>
  <c r="G11" i="4"/>
  <c r="X11" i="6" s="1"/>
  <c r="F11" i="4"/>
  <c r="W11" i="6" s="1"/>
  <c r="T11" i="4"/>
  <c r="Z3" i="6"/>
  <c r="AA3" i="6"/>
  <c r="S3" i="4"/>
  <c r="G3" i="4"/>
  <c r="F3" i="4"/>
  <c r="W3" i="6" s="1"/>
  <c r="T3" i="4"/>
  <c r="AC50" i="6"/>
  <c r="AB50" i="6"/>
  <c r="AM14" i="6"/>
  <c r="AL14" i="6"/>
  <c r="AE4" i="6"/>
  <c r="AD4" i="6"/>
  <c r="O4" i="4"/>
  <c r="AM9" i="6"/>
  <c r="AL9" i="6"/>
  <c r="AD83" i="6"/>
  <c r="AE83" i="6"/>
  <c r="O83" i="4"/>
  <c r="AE47" i="6"/>
  <c r="AD47" i="6"/>
  <c r="O47" i="4"/>
  <c r="AK13" i="6"/>
  <c r="AJ13" i="6"/>
  <c r="AJ5" i="6"/>
  <c r="AK5" i="6"/>
  <c r="AB103" i="6"/>
  <c r="AC103" i="6"/>
  <c r="AA85" i="6"/>
  <c r="Z85" i="6"/>
  <c r="S85" i="4"/>
  <c r="G85" i="4"/>
  <c r="X85" i="6" s="1"/>
  <c r="F85" i="4"/>
  <c r="W85" i="6" s="1"/>
  <c r="T85" i="4"/>
  <c r="AM61" i="6"/>
  <c r="AL61" i="6"/>
  <c r="AA46" i="6"/>
  <c r="Z46" i="6"/>
  <c r="T46" i="4"/>
  <c r="S46" i="4"/>
  <c r="G46" i="4"/>
  <c r="X46" i="6" s="1"/>
  <c r="F46" i="4"/>
  <c r="W46" i="6" s="1"/>
  <c r="AM34" i="6"/>
  <c r="AL34" i="6"/>
  <c r="AL118" i="6"/>
  <c r="AM118" i="6"/>
  <c r="AB109" i="6"/>
  <c r="AC109" i="6"/>
  <c r="AB79" i="6"/>
  <c r="AC79" i="6"/>
  <c r="AC64" i="6"/>
  <c r="AB64" i="6"/>
  <c r="AA28" i="6"/>
  <c r="Z28" i="6"/>
  <c r="F28" i="4"/>
  <c r="W28" i="6" s="1"/>
  <c r="G28" i="4"/>
  <c r="X28" i="6" s="1"/>
  <c r="T28" i="4"/>
  <c r="S28" i="4"/>
  <c r="AM2" i="6"/>
  <c r="AL2" i="6"/>
  <c r="Q83" i="4"/>
  <c r="Q35" i="4"/>
  <c r="AQ39" i="6"/>
  <c r="AP39" i="6"/>
  <c r="AE2" i="6"/>
  <c r="AD2" i="6"/>
  <c r="O2" i="4"/>
  <c r="Z114" i="6"/>
  <c r="AA114" i="6"/>
  <c r="T114" i="4"/>
  <c r="S114" i="4"/>
  <c r="G114" i="4"/>
  <c r="X114" i="6" s="1"/>
  <c r="F114" i="4"/>
  <c r="W114" i="6" s="1"/>
  <c r="AM84" i="6"/>
  <c r="AL84" i="6"/>
  <c r="AC72" i="6"/>
  <c r="AB72" i="6"/>
  <c r="AC42" i="6"/>
  <c r="AB42" i="6"/>
  <c r="AA26" i="6"/>
  <c r="Z26" i="6"/>
  <c r="T26" i="4"/>
  <c r="S26" i="4"/>
  <c r="G26" i="4"/>
  <c r="X26" i="6" s="1"/>
  <c r="F26" i="4"/>
  <c r="W26" i="6" s="1"/>
  <c r="AL3" i="6"/>
  <c r="AM3" i="6"/>
  <c r="AL87" i="6"/>
  <c r="AM87" i="6"/>
  <c r="Z69" i="6"/>
  <c r="AA69" i="6"/>
  <c r="S69" i="4"/>
  <c r="G69" i="4"/>
  <c r="X69" i="6" s="1"/>
  <c r="F69" i="4"/>
  <c r="W69" i="6" s="1"/>
  <c r="T69" i="4"/>
  <c r="AM39" i="6"/>
  <c r="AL39" i="6"/>
  <c r="AI94" i="6"/>
  <c r="AH94" i="6"/>
  <c r="AH73" i="6"/>
  <c r="AI73" i="6"/>
  <c r="AK67" i="6"/>
  <c r="AJ67" i="6"/>
  <c r="AI46" i="6"/>
  <c r="AH46" i="6"/>
  <c r="AI25" i="6"/>
  <c r="AH25" i="6"/>
  <c r="AC3" i="6"/>
  <c r="AB3" i="6"/>
  <c r="AM92" i="6"/>
  <c r="AL92" i="6"/>
  <c r="AA62" i="6"/>
  <c r="Z62" i="6"/>
  <c r="T62" i="4"/>
  <c r="S62" i="4"/>
  <c r="G62" i="4"/>
  <c r="X62" i="6" s="1"/>
  <c r="F62" i="4"/>
  <c r="W62" i="6" s="1"/>
  <c r="AC29" i="6"/>
  <c r="AB29" i="6"/>
  <c r="AK68" i="6"/>
  <c r="AJ68" i="6"/>
  <c r="F18" i="7"/>
  <c r="AA101" i="6"/>
  <c r="Z101" i="6"/>
  <c r="S101" i="4"/>
  <c r="G101" i="4"/>
  <c r="X101" i="6" s="1"/>
  <c r="F101" i="4"/>
  <c r="W101" i="6" s="1"/>
  <c r="T101" i="4"/>
  <c r="AA74" i="6"/>
  <c r="Z74" i="6"/>
  <c r="T74" i="4"/>
  <c r="S74" i="4"/>
  <c r="G74" i="4"/>
  <c r="X74" i="6" s="1"/>
  <c r="F74" i="4"/>
  <c r="W74" i="6" s="1"/>
  <c r="AM50" i="6"/>
  <c r="AL50" i="6"/>
  <c r="Q63" i="4"/>
  <c r="P42" i="4"/>
  <c r="AC8" i="6"/>
  <c r="AB8" i="6"/>
  <c r="AD119" i="6"/>
  <c r="AE119" i="6"/>
  <c r="O119" i="4"/>
  <c r="AA23" i="6"/>
  <c r="Z23" i="6"/>
  <c r="G23" i="4"/>
  <c r="X23" i="6" s="1"/>
  <c r="T23" i="4"/>
  <c r="F23" i="4"/>
  <c r="W23" i="6" s="1"/>
  <c r="S23" i="4"/>
  <c r="AM103" i="6"/>
  <c r="AL103" i="6"/>
  <c r="AB85" i="6"/>
  <c r="AC85" i="6"/>
  <c r="AC46" i="6"/>
  <c r="AB46" i="6"/>
  <c r="AA118" i="6"/>
  <c r="Z118" i="6"/>
  <c r="T118" i="4"/>
  <c r="S118" i="4"/>
  <c r="G118" i="4"/>
  <c r="X118" i="6" s="1"/>
  <c r="F118" i="4"/>
  <c r="W118" i="6" s="1"/>
  <c r="AA109" i="6"/>
  <c r="Z109" i="6"/>
  <c r="T109" i="4"/>
  <c r="F109" i="4"/>
  <c r="W109" i="6" s="1"/>
  <c r="G109" i="4"/>
  <c r="X109" i="6" s="1"/>
  <c r="S109" i="4"/>
  <c r="AA94" i="6"/>
  <c r="Z94" i="6"/>
  <c r="T94" i="4"/>
  <c r="S94" i="4"/>
  <c r="G94" i="4"/>
  <c r="X94" i="6" s="1"/>
  <c r="F94" i="4"/>
  <c r="W94" i="6" s="1"/>
  <c r="AM79" i="6"/>
  <c r="AL79" i="6"/>
  <c r="AB43" i="6"/>
  <c r="AC43" i="6"/>
  <c r="AC28" i="6"/>
  <c r="AB28" i="6"/>
  <c r="AA21" i="6"/>
  <c r="Z21" i="6"/>
  <c r="T21" i="4"/>
  <c r="G21" i="4"/>
  <c r="X21" i="6" s="1"/>
  <c r="S21" i="4"/>
  <c r="F21" i="4"/>
  <c r="W21" i="6" s="1"/>
  <c r="Q62" i="4"/>
  <c r="Q41" i="4"/>
  <c r="Q14" i="4"/>
  <c r="AD112" i="6"/>
  <c r="AE112" i="6"/>
  <c r="O112" i="4"/>
  <c r="AE76" i="6"/>
  <c r="AD76" i="6"/>
  <c r="O76" i="4"/>
  <c r="AE40" i="6"/>
  <c r="AD40" i="6"/>
  <c r="O40" i="4"/>
  <c r="AO87" i="6"/>
  <c r="AN87" i="6"/>
  <c r="AO47" i="6"/>
  <c r="AN47" i="6"/>
  <c r="Q76" i="4"/>
  <c r="AI14" i="6"/>
  <c r="AH14" i="6"/>
  <c r="N16" i="5"/>
  <c r="AK64" i="6"/>
  <c r="AJ64" i="6"/>
  <c r="AI10" i="6"/>
  <c r="AH10" i="6"/>
  <c r="N4" i="5"/>
  <c r="AB114" i="6"/>
  <c r="AC114" i="6"/>
  <c r="AA84" i="6"/>
  <c r="Z84" i="6"/>
  <c r="T84" i="4"/>
  <c r="S84" i="4"/>
  <c r="G84" i="4"/>
  <c r="X84" i="6" s="1"/>
  <c r="F84" i="4"/>
  <c r="W84" i="6" s="1"/>
  <c r="AA54" i="6"/>
  <c r="Z54" i="6"/>
  <c r="T54" i="4"/>
  <c r="S54" i="4"/>
  <c r="G54" i="4"/>
  <c r="X54" i="6" s="1"/>
  <c r="F54" i="4"/>
  <c r="W54" i="6" s="1"/>
  <c r="AM42" i="6"/>
  <c r="AL42" i="6"/>
  <c r="AE24" i="6"/>
  <c r="AD24" i="6"/>
  <c r="O24" i="4"/>
  <c r="AC2" i="6"/>
  <c r="AB2" i="6"/>
  <c r="AC69" i="6"/>
  <c r="AB69" i="6"/>
  <c r="AC24" i="6"/>
  <c r="AB24" i="6"/>
  <c r="AA14" i="6"/>
  <c r="Z14" i="6"/>
  <c r="T14" i="4"/>
  <c r="G14" i="4"/>
  <c r="X14" i="6" s="1"/>
  <c r="S14" i="4"/>
  <c r="F14" i="4"/>
  <c r="W14" i="6" s="1"/>
  <c r="AA6" i="6"/>
  <c r="Z6" i="6"/>
  <c r="T6" i="4"/>
  <c r="S6" i="4"/>
  <c r="G6" i="4"/>
  <c r="F6" i="4"/>
  <c r="W6" i="6" s="1"/>
  <c r="AI100" i="6"/>
  <c r="AH100" i="6"/>
  <c r="AK94" i="6"/>
  <c r="AJ94" i="6"/>
  <c r="AK73" i="6"/>
  <c r="AJ73" i="6"/>
  <c r="AI52" i="6"/>
  <c r="AH52" i="6"/>
  <c r="AK46" i="6"/>
  <c r="AJ46" i="6"/>
  <c r="AK25" i="6"/>
  <c r="AJ25" i="6"/>
  <c r="AE120" i="6"/>
  <c r="AD120" i="6"/>
  <c r="O120" i="4"/>
  <c r="AE105" i="6"/>
  <c r="AD105" i="6"/>
  <c r="O105" i="4"/>
  <c r="AD84" i="6"/>
  <c r="AE84" i="6"/>
  <c r="O84" i="4"/>
  <c r="AE48" i="6"/>
  <c r="AD48" i="6"/>
  <c r="O48" i="4"/>
  <c r="AM12" i="6"/>
  <c r="AL12" i="6"/>
  <c r="AA92" i="6"/>
  <c r="Z92" i="6"/>
  <c r="T92" i="4"/>
  <c r="S92" i="4"/>
  <c r="G92" i="4"/>
  <c r="X92" i="6" s="1"/>
  <c r="F92" i="4"/>
  <c r="W92" i="6" s="1"/>
  <c r="AA77" i="6"/>
  <c r="Z77" i="6"/>
  <c r="S77" i="4"/>
  <c r="G77" i="4"/>
  <c r="X77" i="6" s="1"/>
  <c r="F77" i="4"/>
  <c r="W77" i="6" s="1"/>
  <c r="T77" i="4"/>
  <c r="AC62" i="6"/>
  <c r="AB62" i="6"/>
  <c r="AM29" i="6"/>
  <c r="AL29" i="6"/>
  <c r="AA55" i="6"/>
  <c r="Z55" i="6"/>
  <c r="T55" i="4"/>
  <c r="S55" i="4"/>
  <c r="G55" i="4"/>
  <c r="X55" i="6" s="1"/>
  <c r="F55" i="4"/>
  <c r="W55" i="6" s="1"/>
  <c r="AB110" i="6"/>
  <c r="AC110" i="6"/>
  <c r="AC101" i="6"/>
  <c r="AB101" i="6"/>
  <c r="AA89" i="6"/>
  <c r="Z89" i="6"/>
  <c r="S89" i="4"/>
  <c r="G89" i="4"/>
  <c r="X89" i="6" s="1"/>
  <c r="F89" i="4"/>
  <c r="W89" i="6" s="1"/>
  <c r="T89" i="4"/>
  <c r="AC74" i="6"/>
  <c r="AB74" i="6"/>
  <c r="AC59" i="6"/>
  <c r="AB59" i="6"/>
  <c r="AM32" i="6"/>
  <c r="AL32" i="6"/>
  <c r="AE12" i="6"/>
  <c r="AD12" i="6"/>
  <c r="O12" i="4"/>
  <c r="AK90" i="6"/>
  <c r="AJ90" i="6"/>
  <c r="AK69" i="6"/>
  <c r="AJ69" i="6"/>
  <c r="Q42" i="4"/>
  <c r="AI18" i="6"/>
  <c r="AH18" i="6"/>
  <c r="AE104" i="6"/>
  <c r="AD104" i="6"/>
  <c r="O104" i="4"/>
  <c r="AE68" i="6"/>
  <c r="AD68" i="6"/>
  <c r="O68" i="4"/>
  <c r="AE32" i="6"/>
  <c r="AD32" i="6"/>
  <c r="O32" i="4"/>
  <c r="AM85" i="6"/>
  <c r="AL85" i="6"/>
  <c r="AA70" i="6"/>
  <c r="Z70" i="6"/>
  <c r="T70" i="4"/>
  <c r="S70" i="4"/>
  <c r="G70" i="4"/>
  <c r="X70" i="6" s="1"/>
  <c r="F70" i="4"/>
  <c r="W70" i="6" s="1"/>
  <c r="AA58" i="6"/>
  <c r="Z58" i="6"/>
  <c r="T58" i="4"/>
  <c r="S58" i="4"/>
  <c r="G58" i="4"/>
  <c r="X58" i="6" s="1"/>
  <c r="F58" i="4"/>
  <c r="W58" i="6" s="1"/>
  <c r="AM46" i="6"/>
  <c r="AL46" i="6"/>
  <c r="AC31" i="6"/>
  <c r="AB31" i="6"/>
  <c r="AB118" i="6"/>
  <c r="AC118" i="6"/>
  <c r="AM109" i="6"/>
  <c r="AL109" i="6"/>
  <c r="AC94" i="6"/>
  <c r="AB94" i="6"/>
  <c r="AM43" i="6"/>
  <c r="AL43" i="6"/>
  <c r="AM19" i="6"/>
  <c r="AL19" i="6"/>
  <c r="AM10" i="6"/>
  <c r="AL10" i="6"/>
  <c r="P47" i="4"/>
  <c r="AE118" i="6"/>
  <c r="AD118" i="6"/>
  <c r="O118" i="4"/>
  <c r="AE97" i="6"/>
  <c r="AD97" i="6"/>
  <c r="O97" i="4"/>
  <c r="AE82" i="6"/>
  <c r="AD82" i="6"/>
  <c r="O82" i="4"/>
  <c r="AE61" i="6"/>
  <c r="AD61" i="6"/>
  <c r="O61" i="4"/>
  <c r="AE46" i="6"/>
  <c r="AD46" i="6"/>
  <c r="O46" i="4"/>
  <c r="AP87" i="6"/>
  <c r="AQ87" i="6"/>
  <c r="AQ47" i="6"/>
  <c r="AP47" i="6"/>
  <c r="AE6" i="6"/>
  <c r="AD6" i="6"/>
  <c r="O6" i="4"/>
  <c r="AA51" i="6"/>
  <c r="Z51" i="6"/>
  <c r="T51" i="4"/>
  <c r="S51" i="4"/>
  <c r="G51" i="4"/>
  <c r="X51" i="6" s="1"/>
  <c r="F51" i="4"/>
  <c r="W51" i="6" s="1"/>
  <c r="AH19" i="6"/>
  <c r="AI19" i="6"/>
  <c r="AE10" i="6"/>
  <c r="AD10" i="6"/>
  <c r="O10" i="4"/>
  <c r="AC19" i="6"/>
  <c r="AB19" i="6"/>
  <c r="N3" i="5"/>
  <c r="J15" i="5"/>
  <c r="AM96" i="6"/>
  <c r="AL96" i="6"/>
  <c r="AC84" i="6"/>
  <c r="AB84" i="6"/>
  <c r="AC54" i="6"/>
  <c r="AB54" i="6"/>
  <c r="AC21" i="6"/>
  <c r="AB21" i="6"/>
  <c r="AM11" i="6"/>
  <c r="AL11" i="6"/>
  <c r="AC99" i="6"/>
  <c r="AB99" i="6"/>
  <c r="AL69" i="6"/>
  <c r="AM69" i="6"/>
  <c r="AC51" i="6"/>
  <c r="AB51" i="6"/>
  <c r="AM36" i="6"/>
  <c r="AL36" i="6"/>
  <c r="AH118" i="6"/>
  <c r="AI118" i="6"/>
  <c r="AH112" i="6"/>
  <c r="AI112" i="6"/>
  <c r="AI106" i="6"/>
  <c r="AH106" i="6"/>
  <c r="AI79" i="6"/>
  <c r="AH79" i="6"/>
  <c r="AH31" i="6"/>
  <c r="AI31" i="6"/>
  <c r="AE90" i="6"/>
  <c r="AD90" i="6"/>
  <c r="O90" i="4"/>
  <c r="AE69" i="6"/>
  <c r="AD69" i="6"/>
  <c r="O69" i="4"/>
  <c r="AE54" i="6"/>
  <c r="AD54" i="6"/>
  <c r="O54" i="4"/>
  <c r="AE33" i="6"/>
  <c r="AD33" i="6"/>
  <c r="O33" i="4"/>
  <c r="AC11" i="6"/>
  <c r="AB11" i="6"/>
  <c r="AC92" i="6"/>
  <c r="AB92" i="6"/>
  <c r="AC77" i="6"/>
  <c r="AB77" i="6"/>
  <c r="AM62" i="6"/>
  <c r="AL62" i="6"/>
  <c r="AA41" i="6"/>
  <c r="Z41" i="6"/>
  <c r="S41" i="4"/>
  <c r="G41" i="4"/>
  <c r="X41" i="6" s="1"/>
  <c r="F41" i="4"/>
  <c r="W41" i="6" s="1"/>
  <c r="T41" i="4"/>
  <c r="AM119" i="6"/>
  <c r="AL119" i="6"/>
  <c r="AL110" i="6"/>
  <c r="AM110" i="6"/>
  <c r="AM101" i="6"/>
  <c r="AL101" i="6"/>
  <c r="AB89" i="6"/>
  <c r="AC89" i="6"/>
  <c r="AM74" i="6"/>
  <c r="AL74" i="6"/>
  <c r="AM59" i="6"/>
  <c r="AL59" i="6"/>
  <c r="AA32" i="6"/>
  <c r="Z32" i="6"/>
  <c r="T32" i="4"/>
  <c r="S32" i="4"/>
  <c r="G32" i="4"/>
  <c r="X32" i="6" s="1"/>
  <c r="F32" i="4"/>
  <c r="W32" i="6" s="1"/>
  <c r="AM23" i="6"/>
  <c r="AL23" i="6"/>
  <c r="P24" i="4"/>
  <c r="AE110" i="6"/>
  <c r="AD110" i="6"/>
  <c r="O110" i="4"/>
  <c r="AD89" i="6"/>
  <c r="AE89" i="6"/>
  <c r="O89" i="4"/>
  <c r="AE74" i="6"/>
  <c r="AD74" i="6"/>
  <c r="O74" i="4"/>
  <c r="AD53" i="6"/>
  <c r="AE53" i="6"/>
  <c r="O53" i="4"/>
  <c r="AE38" i="6"/>
  <c r="AD38" i="6"/>
  <c r="O38" i="4"/>
  <c r="AA12" i="6"/>
  <c r="Z12" i="6"/>
  <c r="T12" i="4"/>
  <c r="S12" i="4"/>
  <c r="G12" i="4"/>
  <c r="X12" i="6" s="1"/>
  <c r="F12" i="4"/>
  <c r="W12" i="6" s="1"/>
  <c r="AA4" i="6"/>
  <c r="Z4" i="6"/>
  <c r="T4" i="4"/>
  <c r="S4" i="4"/>
  <c r="G4" i="4"/>
  <c r="F4" i="4"/>
  <c r="W4" i="6" s="1"/>
  <c r="AA97" i="6"/>
  <c r="Z97" i="6"/>
  <c r="S97" i="4"/>
  <c r="G97" i="4"/>
  <c r="X97" i="6" s="1"/>
  <c r="F97" i="4"/>
  <c r="W97" i="6" s="1"/>
  <c r="T97" i="4"/>
  <c r="AC70" i="6"/>
  <c r="AB70" i="6"/>
  <c r="AC58" i="6"/>
  <c r="AB58" i="6"/>
  <c r="AM31" i="6"/>
  <c r="AL31" i="6"/>
  <c r="AE16" i="6"/>
  <c r="AD16" i="6"/>
  <c r="O16" i="4"/>
  <c r="AM94" i="6"/>
  <c r="AL94" i="6"/>
  <c r="AC9" i="6"/>
  <c r="AB9" i="6"/>
  <c r="P101" i="4"/>
  <c r="P74" i="4"/>
  <c r="Q47" i="4"/>
  <c r="Q26" i="4"/>
  <c r="AE103" i="6"/>
  <c r="AD103" i="6"/>
  <c r="O103" i="4"/>
  <c r="AE67" i="6"/>
  <c r="AD67" i="6"/>
  <c r="O67" i="4"/>
  <c r="AE31" i="6"/>
  <c r="AD31" i="6"/>
  <c r="O31" i="4"/>
  <c r="AO107" i="6"/>
  <c r="AN107" i="6"/>
  <c r="AO59" i="6"/>
  <c r="AN59" i="6"/>
  <c r="Z120" i="6"/>
  <c r="AA120" i="6"/>
  <c r="F120" i="4"/>
  <c r="W120" i="6" s="1"/>
  <c r="T120" i="4"/>
  <c r="S120" i="4"/>
  <c r="G120" i="4"/>
  <c r="X120" i="6" s="1"/>
  <c r="AA96" i="6"/>
  <c r="Z96" i="6"/>
  <c r="T96" i="4"/>
  <c r="S96" i="4"/>
  <c r="G96" i="4"/>
  <c r="X96" i="6" s="1"/>
  <c r="F96" i="4"/>
  <c r="W96" i="6" s="1"/>
  <c r="AA66" i="6"/>
  <c r="Z66" i="6"/>
  <c r="T66" i="4"/>
  <c r="S66" i="4"/>
  <c r="G66" i="4"/>
  <c r="X66" i="6" s="1"/>
  <c r="F66" i="4"/>
  <c r="W66" i="6" s="1"/>
  <c r="AM54" i="6"/>
  <c r="AL54" i="6"/>
  <c r="AK22" i="6"/>
  <c r="AJ22" i="6"/>
  <c r="AC10" i="6"/>
  <c r="AB10" i="6"/>
  <c r="AL99" i="6"/>
  <c r="AM99" i="6"/>
  <c r="AA81" i="6"/>
  <c r="Z81" i="6"/>
  <c r="S81" i="4"/>
  <c r="G81" i="4"/>
  <c r="X81" i="6" s="1"/>
  <c r="F81" i="4"/>
  <c r="W81" i="6" s="1"/>
  <c r="T81" i="4"/>
  <c r="AM51" i="6"/>
  <c r="AL51" i="6"/>
  <c r="AA36" i="6"/>
  <c r="Z36" i="6"/>
  <c r="T36" i="4"/>
  <c r="S36" i="4"/>
  <c r="G36" i="4"/>
  <c r="X36" i="6" s="1"/>
  <c r="F36" i="4"/>
  <c r="W36" i="6" s="1"/>
  <c r="Z91" i="6"/>
  <c r="AA91" i="6"/>
  <c r="T91" i="4"/>
  <c r="S91" i="4"/>
  <c r="G91" i="4"/>
  <c r="X91" i="6" s="1"/>
  <c r="F91" i="4"/>
  <c r="W91" i="6" s="1"/>
  <c r="AI22" i="6"/>
  <c r="AH22" i="6"/>
  <c r="AJ118" i="6"/>
  <c r="AK118" i="6"/>
  <c r="AK112" i="6"/>
  <c r="AJ112" i="6"/>
  <c r="AJ106" i="6"/>
  <c r="AK106" i="6"/>
  <c r="AH85" i="6"/>
  <c r="AI85" i="6"/>
  <c r="AK79" i="6"/>
  <c r="AJ79" i="6"/>
  <c r="AI58" i="6"/>
  <c r="AH58" i="6"/>
  <c r="AH37" i="6"/>
  <c r="AI37" i="6"/>
  <c r="AK31" i="6"/>
  <c r="AJ31" i="6"/>
  <c r="AI27" i="6"/>
  <c r="AH27" i="6"/>
  <c r="AA17" i="6"/>
  <c r="Z17" i="6"/>
  <c r="S17" i="4"/>
  <c r="F17" i="4"/>
  <c r="W17" i="6" s="1"/>
  <c r="T17" i="4"/>
  <c r="G17" i="4"/>
  <c r="AE75" i="6"/>
  <c r="AD75" i="6"/>
  <c r="O75" i="4"/>
  <c r="AE39" i="6"/>
  <c r="AD39" i="6"/>
  <c r="O39" i="4"/>
  <c r="AK20" i="6"/>
  <c r="AJ20" i="6"/>
  <c r="Z116" i="6"/>
  <c r="AA116" i="6"/>
  <c r="F116" i="4"/>
  <c r="W116" i="6" s="1"/>
  <c r="T116" i="4"/>
  <c r="S116" i="4"/>
  <c r="G116" i="4"/>
  <c r="X116" i="6" s="1"/>
  <c r="AM77" i="6"/>
  <c r="AL77" i="6"/>
  <c r="AC41" i="6"/>
  <c r="AB41" i="6"/>
  <c r="AA119" i="6"/>
  <c r="Z119" i="6"/>
  <c r="T119" i="4"/>
  <c r="F119" i="4"/>
  <c r="W119" i="6" s="1"/>
  <c r="S119" i="4"/>
  <c r="G119" i="4"/>
  <c r="X119" i="6" s="1"/>
  <c r="AA110" i="6"/>
  <c r="Z110" i="6"/>
  <c r="S110" i="4"/>
  <c r="T110" i="4"/>
  <c r="G110" i="4"/>
  <c r="X110" i="6" s="1"/>
  <c r="F110" i="4"/>
  <c r="W110" i="6" s="1"/>
  <c r="AM89" i="6"/>
  <c r="AL89" i="6"/>
  <c r="AM44" i="6"/>
  <c r="AL44" i="6"/>
  <c r="AC32" i="6"/>
  <c r="AB32" i="6"/>
  <c r="AD23" i="6"/>
  <c r="AE23" i="6"/>
  <c r="O23" i="4"/>
  <c r="P114" i="4"/>
  <c r="P102" i="4"/>
  <c r="Q75" i="4"/>
  <c r="P54" i="4"/>
  <c r="AE95" i="6"/>
  <c r="AD95" i="6"/>
  <c r="O95" i="4"/>
  <c r="AE59" i="6"/>
  <c r="AD59" i="6"/>
  <c r="O59" i="4"/>
  <c r="AC97" i="6"/>
  <c r="AB97" i="6"/>
  <c r="AA82" i="6"/>
  <c r="Z82" i="6"/>
  <c r="T82" i="4"/>
  <c r="S82" i="4"/>
  <c r="G82" i="4"/>
  <c r="X82" i="6" s="1"/>
  <c r="F82" i="4"/>
  <c r="W82" i="6" s="1"/>
  <c r="AM70" i="6"/>
  <c r="AL70" i="6"/>
  <c r="AM58" i="6"/>
  <c r="AL58" i="6"/>
  <c r="AE5" i="6"/>
  <c r="AD5" i="6"/>
  <c r="O5" i="4"/>
  <c r="AM115" i="6"/>
  <c r="AL115" i="6"/>
  <c r="Z106" i="6"/>
  <c r="AA106" i="6"/>
  <c r="G106" i="4"/>
  <c r="X106" i="6" s="1"/>
  <c r="T106" i="4"/>
  <c r="F106" i="4"/>
  <c r="W106" i="6" s="1"/>
  <c r="S106" i="4"/>
  <c r="AA73" i="6"/>
  <c r="Z73" i="6"/>
  <c r="S73" i="4"/>
  <c r="G73" i="4"/>
  <c r="X73" i="6" s="1"/>
  <c r="F73" i="4"/>
  <c r="W73" i="6" s="1"/>
  <c r="T73" i="4"/>
  <c r="AB55" i="6"/>
  <c r="AC55" i="6"/>
  <c r="AM22" i="6"/>
  <c r="AL22" i="6"/>
  <c r="Q74" i="4"/>
  <c r="Q53" i="4"/>
  <c r="P32" i="4"/>
  <c r="AA13" i="6"/>
  <c r="Z13" i="6"/>
  <c r="T13" i="4"/>
  <c r="S13" i="4"/>
  <c r="G13" i="4"/>
  <c r="F13" i="4"/>
  <c r="W13" i="6" s="1"/>
  <c r="AA5" i="6"/>
  <c r="Z5" i="6"/>
  <c r="T5" i="4"/>
  <c r="S5" i="4"/>
  <c r="G5" i="4"/>
  <c r="F5" i="4"/>
  <c r="W5" i="6" s="1"/>
  <c r="AQ107" i="6"/>
  <c r="AP107" i="6"/>
  <c r="AQ59" i="6"/>
  <c r="AP59" i="6"/>
  <c r="N5" i="5"/>
  <c r="AC120" i="6"/>
  <c r="AB120" i="6"/>
  <c r="Z108" i="6"/>
  <c r="AA108" i="6"/>
  <c r="F108" i="4"/>
  <c r="W108" i="6" s="1"/>
  <c r="S108" i="4"/>
  <c r="G108" i="4"/>
  <c r="X108" i="6" s="1"/>
  <c r="T108" i="4"/>
  <c r="AC96" i="6"/>
  <c r="AB96" i="6"/>
  <c r="AC66" i="6"/>
  <c r="AB66" i="6"/>
  <c r="AE22" i="6"/>
  <c r="AD22" i="6"/>
  <c r="O22" i="4"/>
  <c r="AL111" i="6"/>
  <c r="AM111" i="6"/>
  <c r="AB81" i="6"/>
  <c r="AC81" i="6"/>
  <c r="AC36" i="6"/>
  <c r="AB36" i="6"/>
  <c r="AC22" i="6"/>
  <c r="AB22" i="6"/>
  <c r="AK11" i="6"/>
  <c r="AJ11" i="6"/>
  <c r="AK3" i="6"/>
  <c r="AJ3" i="6"/>
  <c r="AK85" i="6"/>
  <c r="AJ85" i="6"/>
  <c r="AI64" i="6"/>
  <c r="AH64" i="6"/>
  <c r="AK58" i="6"/>
  <c r="AJ58" i="6"/>
  <c r="AK37" i="6"/>
  <c r="AJ37" i="6"/>
  <c r="AE7" i="6"/>
  <c r="AD7" i="6"/>
  <c r="O7" i="4"/>
  <c r="AE111" i="6"/>
  <c r="AD111" i="6"/>
  <c r="O111" i="4"/>
  <c r="AE20" i="6"/>
  <c r="AD20" i="6"/>
  <c r="O20" i="4"/>
  <c r="AB116" i="6"/>
  <c r="AC116" i="6"/>
  <c r="AM41" i="6"/>
  <c r="AL41" i="6"/>
  <c r="AC119" i="6"/>
  <c r="AB119" i="6"/>
  <c r="AC71" i="6"/>
  <c r="AB71" i="6"/>
  <c r="AA44" i="6"/>
  <c r="Z44" i="6"/>
  <c r="T44" i="4"/>
  <c r="S44" i="4"/>
  <c r="G44" i="4"/>
  <c r="X44" i="6" s="1"/>
  <c r="F44" i="4"/>
  <c r="W44" i="6" s="1"/>
  <c r="Q120" i="4"/>
  <c r="Q114" i="4"/>
  <c r="P60" i="4"/>
  <c r="AK54" i="6"/>
  <c r="AJ54" i="6"/>
  <c r="Q33" i="4"/>
  <c r="AM5" i="6"/>
  <c r="AL5" i="6"/>
  <c r="AA18" i="6"/>
  <c r="Z18" i="6"/>
  <c r="F18" i="4"/>
  <c r="W18" i="6" s="1"/>
  <c r="T18" i="4"/>
  <c r="G18" i="4"/>
  <c r="X18" i="6" s="1"/>
  <c r="S18" i="4"/>
  <c r="AM97" i="6"/>
  <c r="AL97" i="6"/>
  <c r="AB82" i="6"/>
  <c r="AC82" i="6"/>
  <c r="AM40" i="6"/>
  <c r="AL40" i="6"/>
  <c r="AI13" i="6"/>
  <c r="AH13" i="6"/>
  <c r="Z115" i="6"/>
  <c r="AA115" i="6"/>
  <c r="T115" i="4"/>
  <c r="F115" i="4"/>
  <c r="W115" i="6" s="1"/>
  <c r="S115" i="4"/>
  <c r="G115" i="4"/>
  <c r="X115" i="6" s="1"/>
  <c r="AC106" i="6"/>
  <c r="AB106" i="6"/>
  <c r="AC73" i="6"/>
  <c r="AB73" i="6"/>
  <c r="AM55" i="6"/>
  <c r="AL55" i="6"/>
  <c r="AA37" i="6"/>
  <c r="Z37" i="6"/>
  <c r="S37" i="4"/>
  <c r="G37" i="4"/>
  <c r="X37" i="6" s="1"/>
  <c r="F37" i="4"/>
  <c r="W37" i="6" s="1"/>
  <c r="T37" i="4"/>
  <c r="Q119" i="4"/>
  <c r="P59" i="4"/>
  <c r="B12" i="7"/>
  <c r="A5" i="8" s="1"/>
  <c r="AE109" i="6"/>
  <c r="AD109" i="6"/>
  <c r="O109" i="4"/>
  <c r="AE88" i="6"/>
  <c r="AD88" i="6"/>
  <c r="O88" i="4"/>
  <c r="AE52" i="6"/>
  <c r="AD52" i="6"/>
  <c r="O52" i="4"/>
  <c r="AO63" i="6"/>
  <c r="AN63" i="6"/>
  <c r="N10" i="5"/>
  <c r="N11" i="5"/>
  <c r="N12" i="5"/>
  <c r="AI6" i="6"/>
  <c r="AH6" i="6"/>
  <c r="N15" i="5"/>
  <c r="N13" i="5"/>
  <c r="AM120" i="6"/>
  <c r="AL120" i="6"/>
  <c r="AC108" i="6"/>
  <c r="AB108" i="6"/>
  <c r="AA78" i="6"/>
  <c r="Z78" i="6"/>
  <c r="T78" i="4"/>
  <c r="S78" i="4"/>
  <c r="G78" i="4"/>
  <c r="X78" i="6" s="1"/>
  <c r="F78" i="4"/>
  <c r="W78" i="6" s="1"/>
  <c r="AM66" i="6"/>
  <c r="AL66" i="6"/>
  <c r="AA33" i="6"/>
  <c r="Z33" i="6"/>
  <c r="S33" i="4"/>
  <c r="G33" i="4"/>
  <c r="X33" i="6" s="1"/>
  <c r="F33" i="4"/>
  <c r="W33" i="6" s="1"/>
  <c r="T33" i="4"/>
  <c r="AM18" i="6"/>
  <c r="AL18" i="6"/>
  <c r="AA111" i="6"/>
  <c r="Z111" i="6"/>
  <c r="T111" i="4"/>
  <c r="S111" i="4"/>
  <c r="G111" i="4"/>
  <c r="X111" i="6" s="1"/>
  <c r="F111" i="4"/>
  <c r="W111" i="6" s="1"/>
  <c r="AM81" i="6"/>
  <c r="AL81" i="6"/>
  <c r="AC63" i="6"/>
  <c r="AB63" i="6"/>
  <c r="AI43" i="6"/>
  <c r="AH43" i="6"/>
  <c r="AM24" i="6"/>
  <c r="AL24" i="6"/>
  <c r="AL15" i="6"/>
  <c r="AM15" i="6"/>
  <c r="AE117" i="6"/>
  <c r="AD117" i="6"/>
  <c r="O117" i="4"/>
  <c r="AE96" i="6"/>
  <c r="AD96" i="6"/>
  <c r="O96" i="4"/>
  <c r="AE60" i="6"/>
  <c r="AD60" i="6"/>
  <c r="O60" i="4"/>
  <c r="Q96" i="4"/>
  <c r="AL116" i="6"/>
  <c r="AM116" i="6"/>
  <c r="AA86" i="6"/>
  <c r="Z86" i="6"/>
  <c r="T86" i="4"/>
  <c r="S86" i="4"/>
  <c r="G86" i="4"/>
  <c r="X86" i="6" s="1"/>
  <c r="F86" i="4"/>
  <c r="W86" i="6" s="1"/>
  <c r="AM56" i="6"/>
  <c r="AL56" i="6"/>
  <c r="AC17" i="6"/>
  <c r="AB17" i="6"/>
  <c r="AC15" i="6"/>
  <c r="AB15" i="6"/>
  <c r="AA7" i="6"/>
  <c r="Z7" i="6"/>
  <c r="S7" i="4"/>
  <c r="G7" i="4"/>
  <c r="F7" i="4"/>
  <c r="W7" i="6" s="1"/>
  <c r="T7" i="4"/>
  <c r="AM107" i="6"/>
  <c r="AL107" i="6"/>
  <c r="AA98" i="6"/>
  <c r="Z98" i="6"/>
  <c r="T98" i="4"/>
  <c r="S98" i="4"/>
  <c r="G98" i="4"/>
  <c r="X98" i="6" s="1"/>
  <c r="F98" i="4"/>
  <c r="W98" i="6" s="1"/>
  <c r="AM71" i="6"/>
  <c r="AL71" i="6"/>
  <c r="AA53" i="6"/>
  <c r="Z53" i="6"/>
  <c r="S53" i="4"/>
  <c r="G53" i="4"/>
  <c r="X53" i="6" s="1"/>
  <c r="F53" i="4"/>
  <c r="W53" i="6" s="1"/>
  <c r="T53" i="4"/>
  <c r="AC44" i="6"/>
  <c r="AB44" i="6"/>
  <c r="AA20" i="6"/>
  <c r="Z20" i="6"/>
  <c r="T20" i="4"/>
  <c r="G20" i="4"/>
  <c r="S20" i="4"/>
  <c r="F20" i="4"/>
  <c r="W20" i="6" s="1"/>
  <c r="P8" i="4"/>
  <c r="P87" i="4"/>
  <c r="P39" i="4"/>
  <c r="AC4" i="6"/>
  <c r="AB4" i="6"/>
  <c r="AE116" i="6"/>
  <c r="AD116" i="6"/>
  <c r="O116" i="4"/>
  <c r="AE80" i="6"/>
  <c r="AD80" i="6"/>
  <c r="O80" i="4"/>
  <c r="AE44" i="6"/>
  <c r="AD44" i="6"/>
  <c r="O44" i="4"/>
  <c r="AA67" i="6"/>
  <c r="Z67" i="6"/>
  <c r="T67" i="4"/>
  <c r="S67" i="4"/>
  <c r="G67" i="4"/>
  <c r="X67" i="6" s="1"/>
  <c r="F67" i="4"/>
  <c r="W67" i="6" s="1"/>
  <c r="AK9" i="6"/>
  <c r="AJ9" i="6"/>
  <c r="AM82" i="6"/>
  <c r="AL82" i="6"/>
  <c r="AB67" i="6"/>
  <c r="AC67" i="6"/>
  <c r="AA40" i="6"/>
  <c r="Z40" i="6"/>
  <c r="T40" i="4"/>
  <c r="S40" i="4"/>
  <c r="G40" i="4"/>
  <c r="X40" i="6" s="1"/>
  <c r="F40" i="4"/>
  <c r="W40" i="6" s="1"/>
  <c r="AA25" i="6"/>
  <c r="Z25" i="6"/>
  <c r="S25" i="4"/>
  <c r="G25" i="4"/>
  <c r="X25" i="6" s="1"/>
  <c r="T25" i="4"/>
  <c r="F25" i="4"/>
  <c r="W25" i="6" s="1"/>
  <c r="AE13" i="6"/>
  <c r="AD13" i="6"/>
  <c r="O13" i="4"/>
  <c r="AC115" i="6"/>
  <c r="AB115" i="6"/>
  <c r="AM106" i="6"/>
  <c r="AL106" i="6"/>
  <c r="AM88" i="6"/>
  <c r="AL88" i="6"/>
  <c r="AM73" i="6"/>
  <c r="AL73" i="6"/>
  <c r="AC37" i="6"/>
  <c r="AB37" i="6"/>
  <c r="Q59" i="4"/>
  <c r="AE94" i="6"/>
  <c r="AD94" i="6"/>
  <c r="O94" i="4"/>
  <c r="AE73" i="6"/>
  <c r="AD73" i="6"/>
  <c r="O73" i="4"/>
  <c r="AE58" i="6"/>
  <c r="AD58" i="6"/>
  <c r="O58" i="4"/>
  <c r="AE37" i="6"/>
  <c r="AD37" i="6"/>
  <c r="O37" i="4"/>
  <c r="AQ63" i="6"/>
  <c r="AP63" i="6"/>
  <c r="Q40" i="4"/>
  <c r="L14" i="5"/>
  <c r="L7" i="5"/>
  <c r="N6" i="5"/>
  <c r="AM108" i="6"/>
  <c r="AL108" i="6"/>
  <c r="AC78" i="6"/>
  <c r="AB78" i="6"/>
  <c r="AM48" i="6"/>
  <c r="AL48" i="6"/>
  <c r="AC33" i="6"/>
  <c r="AB33" i="6"/>
  <c r="AK84" i="6"/>
  <c r="AJ84" i="6"/>
  <c r="AA19" i="6"/>
  <c r="Z19" i="6"/>
  <c r="T19" i="4"/>
  <c r="G19" i="4"/>
  <c r="X19" i="6" s="1"/>
  <c r="S19" i="4"/>
  <c r="F19" i="4"/>
  <c r="W19" i="6" s="1"/>
  <c r="AB111" i="6"/>
  <c r="AC111" i="6"/>
  <c r="Z93" i="6"/>
  <c r="AA93" i="6"/>
  <c r="S93" i="4"/>
  <c r="G93" i="4"/>
  <c r="X93" i="6" s="1"/>
  <c r="F93" i="4"/>
  <c r="W93" i="6" s="1"/>
  <c r="T93" i="4"/>
  <c r="AM63" i="6"/>
  <c r="AL63" i="6"/>
  <c r="Z45" i="6"/>
  <c r="AA45" i="6"/>
  <c r="S45" i="4"/>
  <c r="G45" i="4"/>
  <c r="X45" i="6" s="1"/>
  <c r="F45" i="4"/>
  <c r="W45" i="6" s="1"/>
  <c r="T45" i="4"/>
  <c r="AC30" i="6"/>
  <c r="AB30" i="6"/>
  <c r="AI97" i="6"/>
  <c r="AH97" i="6"/>
  <c r="AK91" i="6"/>
  <c r="AJ91" i="6"/>
  <c r="AI70" i="6"/>
  <c r="AH70" i="6"/>
  <c r="AH49" i="6"/>
  <c r="AI49" i="6"/>
  <c r="AK43" i="6"/>
  <c r="AJ43" i="6"/>
  <c r="AA24" i="6"/>
  <c r="Z24" i="6"/>
  <c r="T24" i="4"/>
  <c r="S24" i="4"/>
  <c r="G24" i="4"/>
  <c r="X24" i="6" s="1"/>
  <c r="F24" i="4"/>
  <c r="W24" i="6" s="1"/>
  <c r="AE102" i="6"/>
  <c r="AD102" i="6"/>
  <c r="O102" i="4"/>
  <c r="AE81" i="6"/>
  <c r="AD81" i="6"/>
  <c r="O81" i="4"/>
  <c r="AE66" i="6"/>
  <c r="AD66" i="6"/>
  <c r="O66" i="4"/>
  <c r="AE45" i="6"/>
  <c r="AD45" i="6"/>
  <c r="O45" i="4"/>
  <c r="AE30" i="6"/>
  <c r="AD30" i="6"/>
  <c r="O30" i="4"/>
  <c r="AA83" i="6"/>
  <c r="Z83" i="6"/>
  <c r="T83" i="4"/>
  <c r="S83" i="4"/>
  <c r="G83" i="4"/>
  <c r="X83" i="6" s="1"/>
  <c r="F83" i="4"/>
  <c r="W83" i="6" s="1"/>
  <c r="AM8" i="6"/>
  <c r="AL8" i="6"/>
  <c r="AC86" i="6"/>
  <c r="AB86" i="6"/>
  <c r="AA56" i="6"/>
  <c r="Z56" i="6"/>
  <c r="T56" i="4"/>
  <c r="S56" i="4"/>
  <c r="G56" i="4"/>
  <c r="X56" i="6" s="1"/>
  <c r="F56" i="4"/>
  <c r="W56" i="6" s="1"/>
  <c r="AC107" i="6"/>
  <c r="AB107" i="6"/>
  <c r="AC98" i="6"/>
  <c r="AB98" i="6"/>
  <c r="AC53" i="6"/>
  <c r="AB53" i="6"/>
  <c r="AC26" i="6"/>
  <c r="AB26" i="6"/>
  <c r="AE8" i="6"/>
  <c r="AD8" i="6"/>
  <c r="O8" i="4"/>
  <c r="P66" i="4"/>
  <c r="Q39" i="4"/>
  <c r="AM13" i="6"/>
  <c r="AL13" i="6"/>
  <c r="AD101" i="6"/>
  <c r="AE101" i="6"/>
  <c r="O101" i="4"/>
  <c r="AE86" i="6"/>
  <c r="AD86" i="6"/>
  <c r="O86" i="4"/>
  <c r="AD65" i="6"/>
  <c r="AE65" i="6"/>
  <c r="O65" i="4"/>
  <c r="AE50" i="6"/>
  <c r="AD50" i="6"/>
  <c r="O50" i="4"/>
  <c r="AE29" i="6"/>
  <c r="AD29" i="6"/>
  <c r="O29" i="4"/>
  <c r="AM16" i="6"/>
  <c r="AL16" i="6"/>
  <c r="AM67" i="6"/>
  <c r="AL67" i="6"/>
  <c r="AC40" i="6"/>
  <c r="AB40" i="6"/>
  <c r="AB25" i="6"/>
  <c r="AC25" i="6"/>
  <c r="AA88" i="6"/>
  <c r="Z88" i="6"/>
  <c r="T88" i="4"/>
  <c r="S88" i="4"/>
  <c r="G88" i="4"/>
  <c r="X88" i="6" s="1"/>
  <c r="F88" i="4"/>
  <c r="W88" i="6" s="1"/>
  <c r="AM52" i="6"/>
  <c r="AL52" i="6"/>
  <c r="AM37" i="6"/>
  <c r="AL37" i="6"/>
  <c r="AM6" i="6"/>
  <c r="AL6" i="6"/>
  <c r="P92" i="4"/>
  <c r="Q86" i="4"/>
  <c r="Q65" i="4"/>
  <c r="P44" i="4"/>
  <c r="Q38" i="4"/>
  <c r="Q10" i="4"/>
  <c r="Q2" i="4"/>
  <c r="AE79" i="6"/>
  <c r="AD79" i="6"/>
  <c r="O79" i="4"/>
  <c r="AE43" i="6"/>
  <c r="AD43" i="6"/>
  <c r="O43" i="4"/>
  <c r="AE28" i="6"/>
  <c r="AD28" i="6"/>
  <c r="O28" i="4"/>
  <c r="AO30" i="6"/>
  <c r="AN30" i="6"/>
  <c r="AO95" i="6"/>
  <c r="AN95" i="6"/>
  <c r="AO75" i="6"/>
  <c r="AN75" i="6"/>
  <c r="Q28" i="4"/>
  <c r="N14" i="5"/>
  <c r="AA90" i="6"/>
  <c r="Z90" i="6"/>
  <c r="T90" i="4"/>
  <c r="S90" i="4"/>
  <c r="G90" i="4"/>
  <c r="X90" i="6" s="1"/>
  <c r="F90" i="4"/>
  <c r="W90" i="6" s="1"/>
  <c r="AM78" i="6"/>
  <c r="AL78" i="6"/>
  <c r="AA48" i="6"/>
  <c r="Z48" i="6"/>
  <c r="T48" i="4"/>
  <c r="S48" i="4"/>
  <c r="G48" i="4"/>
  <c r="X48" i="6" s="1"/>
  <c r="F48" i="4"/>
  <c r="W48" i="6" s="1"/>
  <c r="AM33" i="6"/>
  <c r="AL33" i="6"/>
  <c r="AA71" i="6"/>
  <c r="Z71" i="6"/>
  <c r="T71" i="4"/>
  <c r="S71" i="4"/>
  <c r="G71" i="4"/>
  <c r="X71" i="6" s="1"/>
  <c r="F71" i="4"/>
  <c r="W71" i="6" s="1"/>
  <c r="AM7" i="6"/>
  <c r="AL7" i="6"/>
  <c r="AB93" i="6"/>
  <c r="AC93" i="6"/>
  <c r="AC45" i="6"/>
  <c r="AB45" i="6"/>
  <c r="AM30" i="6"/>
  <c r="AL30" i="6"/>
  <c r="AA10" i="6"/>
  <c r="Z10" i="6"/>
  <c r="T10" i="4"/>
  <c r="S10" i="4"/>
  <c r="G10" i="4"/>
  <c r="F10" i="4"/>
  <c r="W10" i="6" s="1"/>
  <c r="AA2" i="6"/>
  <c r="Z2" i="6"/>
  <c r="T2" i="4"/>
  <c r="S2" i="4"/>
  <c r="G2" i="4"/>
  <c r="F2" i="4"/>
  <c r="W2" i="6" s="1"/>
  <c r="AK97" i="6"/>
  <c r="AJ97" i="6"/>
  <c r="AI76" i="6"/>
  <c r="AH76" i="6"/>
  <c r="AK70" i="6"/>
  <c r="AJ70" i="6"/>
  <c r="AK49" i="6"/>
  <c r="AJ49" i="6"/>
  <c r="AI28" i="6"/>
  <c r="AH28" i="6"/>
  <c r="AA22" i="6"/>
  <c r="Z22" i="6"/>
  <c r="F22" i="4"/>
  <c r="W22" i="6" s="1"/>
  <c r="S22" i="4"/>
  <c r="T22" i="4"/>
  <c r="G22" i="4"/>
  <c r="AD87" i="6"/>
  <c r="AE87" i="6"/>
  <c r="O87" i="4"/>
  <c r="AE51" i="6"/>
  <c r="AD51" i="6"/>
  <c r="O51" i="4"/>
  <c r="AC7" i="6"/>
  <c r="AB7" i="6"/>
  <c r="AM86" i="6"/>
  <c r="AL86" i="6"/>
  <c r="AM68" i="6"/>
  <c r="AL68" i="6"/>
  <c r="AC56" i="6"/>
  <c r="AB56" i="6"/>
  <c r="AC35" i="6"/>
  <c r="AB35" i="6"/>
  <c r="AM98" i="6"/>
  <c r="AL98" i="6"/>
  <c r="AM80" i="6"/>
  <c r="AL80" i="6"/>
  <c r="AM53" i="6"/>
  <c r="AL53" i="6"/>
  <c r="AM26" i="6"/>
  <c r="AL26" i="6"/>
  <c r="AK18" i="6"/>
  <c r="AJ18" i="6"/>
  <c r="AJ93" i="6"/>
  <c r="AK93" i="6"/>
  <c r="AI72" i="6"/>
  <c r="AH72" i="6"/>
  <c r="AK66" i="6"/>
  <c r="AJ66" i="6"/>
  <c r="AK45" i="6"/>
  <c r="AJ45" i="6"/>
  <c r="AK23" i="6"/>
  <c r="AJ23" i="6"/>
  <c r="AC12" i="6"/>
  <c r="AB12" i="6"/>
  <c r="AD107" i="6"/>
  <c r="AE107" i="6"/>
  <c r="O107" i="4"/>
  <c r="AE71" i="6"/>
  <c r="AD71" i="6"/>
  <c r="O71" i="4"/>
  <c r="AE35" i="6"/>
  <c r="AD35" i="6"/>
  <c r="O35" i="4"/>
  <c r="AK32" i="6"/>
  <c r="AJ32" i="6"/>
  <c r="AB91" i="6"/>
  <c r="AC91" i="6"/>
  <c r="AA49" i="6"/>
  <c r="Z49" i="6"/>
  <c r="S49" i="4"/>
  <c r="G49" i="4"/>
  <c r="X49" i="6" s="1"/>
  <c r="F49" i="4"/>
  <c r="W49" i="6" s="1"/>
  <c r="T49" i="4"/>
  <c r="AM25" i="6"/>
  <c r="AL25" i="6"/>
  <c r="AK21" i="6"/>
  <c r="AJ21" i="6"/>
  <c r="AC121" i="6"/>
  <c r="AB121" i="6"/>
  <c r="AA112" i="6"/>
  <c r="Z112" i="6"/>
  <c r="F112" i="4"/>
  <c r="W112" i="6" s="1"/>
  <c r="T112" i="4"/>
  <c r="S112" i="4"/>
  <c r="G112" i="4"/>
  <c r="X112" i="6" s="1"/>
  <c r="AM100" i="6"/>
  <c r="AL100" i="6"/>
  <c r="AC88" i="6"/>
  <c r="AB88" i="6"/>
  <c r="AA52" i="6"/>
  <c r="Z52" i="6"/>
  <c r="T52" i="4"/>
  <c r="S52" i="4"/>
  <c r="G52" i="4"/>
  <c r="X52" i="6" s="1"/>
  <c r="F52" i="4"/>
  <c r="W52" i="6" s="1"/>
  <c r="AC16" i="6"/>
  <c r="AB16" i="6"/>
  <c r="AC5" i="6"/>
  <c r="AB5" i="6"/>
  <c r="AI71" i="6"/>
  <c r="AH71" i="6"/>
  <c r="AK19" i="6"/>
  <c r="AJ19" i="6"/>
  <c r="F24" i="7"/>
  <c r="AE115" i="6"/>
  <c r="AD115" i="6"/>
  <c r="O115" i="4"/>
  <c r="AQ30" i="6"/>
  <c r="AP30" i="6"/>
  <c r="AQ95" i="6"/>
  <c r="AP95" i="6"/>
  <c r="AQ75" i="6"/>
  <c r="AP75" i="6"/>
  <c r="AG15" i="6"/>
  <c r="AF15" i="6"/>
  <c r="AG27" i="6"/>
  <c r="AF27" i="6"/>
  <c r="N7" i="5"/>
  <c r="AA117" i="6"/>
  <c r="Z117" i="6"/>
  <c r="T117" i="4"/>
  <c r="S117" i="4"/>
  <c r="G117" i="4"/>
  <c r="X117" i="6" s="1"/>
  <c r="F117" i="4"/>
  <c r="W117" i="6" s="1"/>
  <c r="AC90" i="6"/>
  <c r="AB90" i="6"/>
  <c r="AM60" i="6"/>
  <c r="AL60" i="6"/>
  <c r="AC48" i="6"/>
  <c r="AB48" i="6"/>
  <c r="AM17" i="6"/>
  <c r="AL17" i="6"/>
  <c r="AC6" i="6"/>
  <c r="AB6" i="6"/>
  <c r="AL93" i="6"/>
  <c r="AM93" i="6"/>
  <c r="AC75" i="6"/>
  <c r="AB75" i="6"/>
  <c r="AL45" i="6"/>
  <c r="AM45" i="6"/>
  <c r="AK56" i="6"/>
  <c r="AJ56" i="6"/>
  <c r="P121" i="4"/>
  <c r="AI115" i="6"/>
  <c r="AH115" i="6"/>
  <c r="AI109" i="6"/>
  <c r="AH109" i="6"/>
  <c r="AH103" i="6"/>
  <c r="AI103" i="6"/>
  <c r="AI55" i="6"/>
  <c r="AH55" i="6"/>
  <c r="P3" i="4"/>
  <c r="AE108" i="6"/>
  <c r="AD108" i="6"/>
  <c r="O108" i="4"/>
  <c r="Q48" i="4"/>
  <c r="AA68" i="6"/>
  <c r="Z68" i="6"/>
  <c r="T68" i="4"/>
  <c r="S68" i="4"/>
  <c r="G68" i="4"/>
  <c r="X68" i="6" s="1"/>
  <c r="F68" i="4"/>
  <c r="W68" i="6" s="1"/>
  <c r="AM35" i="6"/>
  <c r="AL35" i="6"/>
  <c r="Q12" i="4"/>
  <c r="AK4" i="6"/>
  <c r="AJ4" i="6"/>
  <c r="AC113" i="6"/>
  <c r="AB113" i="6"/>
  <c r="Z104" i="6"/>
  <c r="AA104" i="6"/>
  <c r="T104" i="4"/>
  <c r="F104" i="4"/>
  <c r="W104" i="6" s="1"/>
  <c r="S104" i="4"/>
  <c r="G104" i="4"/>
  <c r="AA80" i="6"/>
  <c r="Z80" i="6"/>
  <c r="T80" i="4"/>
  <c r="S80" i="4"/>
  <c r="G80" i="4"/>
  <c r="X80" i="6" s="1"/>
  <c r="F80" i="4"/>
  <c r="W80" i="6" s="1"/>
  <c r="AA65" i="6"/>
  <c r="Z65" i="6"/>
  <c r="S65" i="4"/>
  <c r="G65" i="4"/>
  <c r="X65" i="6" s="1"/>
  <c r="F65" i="4"/>
  <c r="W65" i="6" s="1"/>
  <c r="T65" i="4"/>
  <c r="AA38" i="6"/>
  <c r="Z38" i="6"/>
  <c r="T38" i="4"/>
  <c r="S38" i="4"/>
  <c r="G38" i="4"/>
  <c r="X38" i="6" s="1"/>
  <c r="F38" i="4"/>
  <c r="W38" i="6" s="1"/>
  <c r="AE18" i="6"/>
  <c r="AD18" i="6"/>
  <c r="O18" i="4"/>
  <c r="P99" i="4"/>
  <c r="P51" i="4"/>
  <c r="K13" i="5" s="1"/>
  <c r="AC23" i="6"/>
  <c r="AB23" i="6"/>
  <c r="B18" i="7"/>
  <c r="Z27" i="6"/>
  <c r="AA27" i="6"/>
  <c r="T27" i="4"/>
  <c r="S27" i="4"/>
  <c r="G27" i="4"/>
  <c r="X27" i="6" s="1"/>
  <c r="F27" i="4"/>
  <c r="W27" i="6" s="1"/>
  <c r="AA8" i="6"/>
  <c r="Z8" i="6"/>
  <c r="T8" i="4"/>
  <c r="S8" i="4"/>
  <c r="G8" i="4"/>
  <c r="F8" i="4"/>
  <c r="W8" i="6" s="1"/>
  <c r="AL91" i="6"/>
  <c r="AM91" i="6"/>
  <c r="AM76" i="6"/>
  <c r="AL76" i="6"/>
  <c r="AC49" i="6"/>
  <c r="AB49" i="6"/>
  <c r="AE21" i="6"/>
  <c r="AD21" i="6"/>
  <c r="O21" i="4"/>
  <c r="AA121" i="6"/>
  <c r="Z121" i="6"/>
  <c r="T121" i="4"/>
  <c r="S121" i="4"/>
  <c r="G121" i="4"/>
  <c r="X121" i="6" s="1"/>
  <c r="F121" i="4"/>
  <c r="W121" i="6" s="1"/>
  <c r="AC112" i="6"/>
  <c r="AB112" i="6"/>
  <c r="AA100" i="6"/>
  <c r="Z100" i="6"/>
  <c r="T100" i="4"/>
  <c r="S100" i="4"/>
  <c r="G100" i="4"/>
  <c r="X100" i="6" s="1"/>
  <c r="F100" i="4"/>
  <c r="W100" i="6" s="1"/>
  <c r="AC52" i="6"/>
  <c r="AB52" i="6"/>
  <c r="P104" i="4"/>
  <c r="P98" i="4"/>
  <c r="P77" i="4"/>
  <c r="Q71" i="4"/>
  <c r="P50" i="4"/>
  <c r="P29" i="4"/>
  <c r="AE19" i="6"/>
  <c r="AD19" i="6"/>
  <c r="O19" i="4"/>
  <c r="AD121" i="6"/>
  <c r="AE121" i="6"/>
  <c r="O121" i="4"/>
  <c r="AE100" i="6"/>
  <c r="AD100" i="6"/>
  <c r="O100" i="4"/>
  <c r="AE64" i="6"/>
  <c r="AD64" i="6"/>
  <c r="O64" i="4"/>
  <c r="AN79" i="6"/>
  <c r="AO79" i="6"/>
  <c r="AO31" i="6"/>
  <c r="AN31" i="6"/>
  <c r="AE14" i="6"/>
  <c r="AD14" i="6"/>
  <c r="O14" i="4"/>
  <c r="N2" i="5"/>
  <c r="L16" i="5"/>
  <c r="N8" i="5"/>
  <c r="N9" i="5"/>
  <c r="AL117" i="6"/>
  <c r="AM117" i="6"/>
  <c r="Z102" i="6"/>
  <c r="AA102" i="6"/>
  <c r="T102" i="4"/>
  <c r="S102" i="4"/>
  <c r="G102" i="4"/>
  <c r="X102" i="6" s="1"/>
  <c r="F102" i="4"/>
  <c r="W102" i="6" s="1"/>
  <c r="AM90" i="6"/>
  <c r="AL90" i="6"/>
  <c r="AA60" i="6"/>
  <c r="Z60" i="6"/>
  <c r="T60" i="4"/>
  <c r="S60" i="4"/>
  <c r="G60" i="4"/>
  <c r="X60" i="6" s="1"/>
  <c r="F60" i="4"/>
  <c r="W60" i="6" s="1"/>
  <c r="F15" i="7"/>
  <c r="AC105" i="6"/>
  <c r="AB105" i="6"/>
  <c r="AM75" i="6"/>
  <c r="AL75" i="6"/>
  <c r="Z57" i="6"/>
  <c r="AA57" i="6"/>
  <c r="S57" i="4"/>
  <c r="G57" i="4"/>
  <c r="X57" i="6" s="1"/>
  <c r="F57" i="4"/>
  <c r="W57" i="6" s="1"/>
  <c r="T57" i="4"/>
  <c r="AA43" i="6"/>
  <c r="Z43" i="6"/>
  <c r="T43" i="4"/>
  <c r="S43" i="4"/>
  <c r="G43" i="4"/>
  <c r="X43" i="6" s="1"/>
  <c r="F43" i="4"/>
  <c r="W43" i="6" s="1"/>
  <c r="AJ17" i="6"/>
  <c r="AK17" i="6"/>
  <c r="AK121" i="6"/>
  <c r="AJ121" i="6"/>
  <c r="AJ115" i="6"/>
  <c r="AK115" i="6"/>
  <c r="AK109" i="6"/>
  <c r="AJ109" i="6"/>
  <c r="AK103" i="6"/>
  <c r="AJ103" i="6"/>
  <c r="AI82" i="6"/>
  <c r="AH82" i="6"/>
  <c r="AH61" i="6"/>
  <c r="AI61" i="6"/>
  <c r="AK55" i="6"/>
  <c r="AJ55" i="6"/>
  <c r="AI34" i="6"/>
  <c r="AH34" i="6"/>
  <c r="AM20" i="6"/>
  <c r="AL20" i="6"/>
  <c r="AE3" i="6"/>
  <c r="AD3" i="6"/>
  <c r="O3" i="4"/>
  <c r="AE72" i="6"/>
  <c r="AD72" i="6"/>
  <c r="O72" i="4"/>
  <c r="AE36" i="6"/>
  <c r="AD36" i="6"/>
  <c r="O36" i="4"/>
  <c r="AA35" i="6"/>
  <c r="Z35" i="6"/>
  <c r="T35" i="4"/>
  <c r="S35" i="4"/>
  <c r="G35" i="4"/>
  <c r="F35" i="4"/>
  <c r="W35" i="6" s="1"/>
  <c r="AK15" i="6"/>
  <c r="AJ15" i="6"/>
  <c r="AC83" i="6"/>
  <c r="AB83" i="6"/>
  <c r="AC68" i="6"/>
  <c r="AB68" i="6"/>
  <c r="AA103" i="6"/>
  <c r="Z103" i="6"/>
  <c r="T103" i="4"/>
  <c r="S103" i="4"/>
  <c r="G103" i="4"/>
  <c r="X103" i="6" s="1"/>
  <c r="F103" i="4"/>
  <c r="W103" i="6" s="1"/>
  <c r="P20" i="4"/>
  <c r="Z113" i="6"/>
  <c r="AA113" i="6"/>
  <c r="T113" i="4"/>
  <c r="S113" i="4"/>
  <c r="G113" i="4"/>
  <c r="X113" i="6" s="1"/>
  <c r="F113" i="4"/>
  <c r="W113" i="6" s="1"/>
  <c r="AL104" i="6"/>
  <c r="AM104" i="6"/>
  <c r="AC95" i="6"/>
  <c r="AB95" i="6"/>
  <c r="AC80" i="6"/>
  <c r="AB80" i="6"/>
  <c r="AC65" i="6"/>
  <c r="AB65" i="6"/>
  <c r="AC38" i="6"/>
  <c r="AB38" i="6"/>
  <c r="AI117" i="6"/>
  <c r="AH117" i="6"/>
  <c r="P111" i="4"/>
  <c r="P105" i="4"/>
  <c r="Q99" i="4"/>
  <c r="P78" i="4"/>
  <c r="P57" i="4"/>
  <c r="K3" i="5" s="1"/>
  <c r="Q51" i="4"/>
  <c r="P30" i="4"/>
  <c r="AD113" i="6"/>
  <c r="AE113" i="6"/>
  <c r="O113" i="4"/>
  <c r="AE92" i="6"/>
  <c r="AD92" i="6"/>
  <c r="O92" i="4"/>
  <c r="AE56" i="6"/>
  <c r="AD56" i="6"/>
  <c r="O56" i="4"/>
  <c r="AA76" i="6"/>
  <c r="Z76" i="6"/>
  <c r="T76" i="4"/>
  <c r="S76" i="4"/>
  <c r="G76" i="4"/>
  <c r="X76" i="6" s="1"/>
  <c r="F76" i="4"/>
  <c r="W76" i="6" s="1"/>
  <c r="AA61" i="6"/>
  <c r="Z61" i="6"/>
  <c r="S61" i="4"/>
  <c r="G61" i="4"/>
  <c r="X61" i="6" s="1"/>
  <c r="F61" i="4"/>
  <c r="W61" i="6" s="1"/>
  <c r="T61" i="4"/>
  <c r="AM49" i="6"/>
  <c r="AL49" i="6"/>
  <c r="AA34" i="6"/>
  <c r="Z34" i="6"/>
  <c r="T34" i="4"/>
  <c r="S34" i="4"/>
  <c r="G34" i="4"/>
  <c r="X34" i="6" s="1"/>
  <c r="F34" i="4"/>
  <c r="W34" i="6" s="1"/>
  <c r="P9" i="4"/>
  <c r="AM121" i="6"/>
  <c r="AL121" i="6"/>
  <c r="AM112" i="6"/>
  <c r="AL112" i="6"/>
  <c r="AB100" i="6"/>
  <c r="AC100" i="6"/>
  <c r="AM64" i="6"/>
  <c r="AL64" i="6"/>
  <c r="AB13" i="6"/>
  <c r="AC13" i="6"/>
  <c r="P116" i="4"/>
  <c r="P110" i="4"/>
  <c r="Q104" i="4"/>
  <c r="Q98" i="4"/>
  <c r="Q77" i="4"/>
  <c r="P56" i="4"/>
  <c r="K6" i="5" s="1"/>
  <c r="Q50" i="4"/>
  <c r="Q29" i="4"/>
  <c r="AA9" i="6"/>
  <c r="Z9" i="6"/>
  <c r="T9" i="4"/>
  <c r="S9" i="4"/>
  <c r="G9" i="4"/>
  <c r="F9" i="4"/>
  <c r="W9" i="6" s="1"/>
  <c r="AD106" i="6"/>
  <c r="AE106" i="6"/>
  <c r="O106" i="4"/>
  <c r="AE85" i="6"/>
  <c r="AD85" i="6"/>
  <c r="O85" i="4"/>
  <c r="AE70" i="6"/>
  <c r="AD70" i="6"/>
  <c r="O70" i="4"/>
  <c r="AE49" i="6"/>
  <c r="AD49" i="6"/>
  <c r="O49" i="4"/>
  <c r="AE34" i="6"/>
  <c r="AD34" i="6"/>
  <c r="O34" i="4"/>
  <c r="AQ79" i="6"/>
  <c r="AP79" i="6"/>
  <c r="AQ31" i="6"/>
  <c r="AP31" i="6"/>
  <c r="AG3" i="6" l="1"/>
  <c r="AF3" i="6"/>
  <c r="X7" i="6"/>
  <c r="I10" i="5"/>
  <c r="AG34" i="6"/>
  <c r="AF34" i="6"/>
  <c r="AO22" i="6"/>
  <c r="AN22" i="6"/>
  <c r="AO83" i="6"/>
  <c r="AN83" i="6"/>
  <c r="AQ86" i="6"/>
  <c r="AP86" i="6"/>
  <c r="AG67" i="6"/>
  <c r="AF67" i="6"/>
  <c r="AG14" i="6"/>
  <c r="AF14" i="6"/>
  <c r="AO112" i="6"/>
  <c r="AN112" i="6"/>
  <c r="AO56" i="6"/>
  <c r="AN56" i="6"/>
  <c r="AG49" i="6"/>
  <c r="AF49" i="6"/>
  <c r="AI110" i="6"/>
  <c r="AH110" i="6"/>
  <c r="AI9" i="6"/>
  <c r="AH9" i="6"/>
  <c r="K9" i="5"/>
  <c r="AO61" i="6"/>
  <c r="AN61" i="6"/>
  <c r="AG92" i="6"/>
  <c r="AF92" i="6"/>
  <c r="AH111" i="6"/>
  <c r="AI111" i="6"/>
  <c r="AG121" i="6"/>
  <c r="AF121" i="6"/>
  <c r="AO121" i="6"/>
  <c r="AN121" i="6"/>
  <c r="AQ38" i="6"/>
  <c r="AP38" i="6"/>
  <c r="AQ80" i="6"/>
  <c r="AP80" i="6"/>
  <c r="O7" i="5"/>
  <c r="AG115" i="6"/>
  <c r="AF115" i="6"/>
  <c r="AP112" i="6"/>
  <c r="AQ112" i="6"/>
  <c r="X2" i="6"/>
  <c r="I13" i="5"/>
  <c r="AK10" i="6"/>
  <c r="AJ10" i="6"/>
  <c r="AG86" i="6"/>
  <c r="AF86" i="6"/>
  <c r="AQ56" i="6"/>
  <c r="AP56" i="6"/>
  <c r="AG13" i="6"/>
  <c r="AF13" i="6"/>
  <c r="AQ40" i="6"/>
  <c r="AP40" i="6"/>
  <c r="AQ67" i="6"/>
  <c r="AP67" i="6"/>
  <c r="AO98" i="6"/>
  <c r="AN98" i="6"/>
  <c r="AO111" i="6"/>
  <c r="AN111" i="6"/>
  <c r="O13" i="5"/>
  <c r="AH59" i="6"/>
  <c r="AI59" i="6"/>
  <c r="AK33" i="6"/>
  <c r="AJ33" i="6"/>
  <c r="AG111" i="6"/>
  <c r="AF111" i="6"/>
  <c r="AI32" i="6"/>
  <c r="AH32" i="6"/>
  <c r="AG59" i="6"/>
  <c r="AF59" i="6"/>
  <c r="AO36" i="6"/>
  <c r="AN36" i="6"/>
  <c r="AG103" i="6"/>
  <c r="AF103" i="6"/>
  <c r="AG6" i="6"/>
  <c r="AF6" i="6"/>
  <c r="AQ70" i="6"/>
  <c r="AP70" i="6"/>
  <c r="AO14" i="6"/>
  <c r="AN14" i="6"/>
  <c r="AO84" i="6"/>
  <c r="AN84" i="6"/>
  <c r="AO23" i="6"/>
  <c r="AN23" i="6"/>
  <c r="AK63" i="6"/>
  <c r="AJ63" i="6"/>
  <c r="AO101" i="6"/>
  <c r="AN101" i="6"/>
  <c r="AQ46" i="6"/>
  <c r="AP46" i="6"/>
  <c r="AG11" i="6"/>
  <c r="AF11" i="6"/>
  <c r="AG25" i="6"/>
  <c r="AF25" i="6"/>
  <c r="AQ16" i="6"/>
  <c r="AP16" i="6"/>
  <c r="AK78" i="6"/>
  <c r="AJ78" i="6"/>
  <c r="AO99" i="6"/>
  <c r="AN99" i="6"/>
  <c r="AQ22" i="6"/>
  <c r="AP22" i="6"/>
  <c r="AK77" i="6"/>
  <c r="AJ77" i="6"/>
  <c r="AG100" i="6"/>
  <c r="AF100" i="6"/>
  <c r="AO71" i="6"/>
  <c r="AN71" i="6"/>
  <c r="AO33" i="6"/>
  <c r="AN33" i="6"/>
  <c r="AQ13" i="6"/>
  <c r="AP13" i="6"/>
  <c r="AK104" i="6"/>
  <c r="AJ104" i="6"/>
  <c r="AO38" i="6"/>
  <c r="AN38" i="6"/>
  <c r="AG89" i="6"/>
  <c r="AF89" i="6"/>
  <c r="X9" i="6"/>
  <c r="I9" i="5"/>
  <c r="AK12" i="6"/>
  <c r="AJ12" i="6"/>
  <c r="AO49" i="6"/>
  <c r="AN49" i="6"/>
  <c r="AF51" i="6"/>
  <c r="AG51" i="6"/>
  <c r="AO2" i="6"/>
  <c r="AN2" i="6"/>
  <c r="AO90" i="6"/>
  <c r="AN90" i="6"/>
  <c r="AG30" i="6"/>
  <c r="AF30" i="6"/>
  <c r="AG102" i="6"/>
  <c r="AF102" i="6"/>
  <c r="AO45" i="6"/>
  <c r="AN45" i="6"/>
  <c r="AG37" i="6"/>
  <c r="AF37" i="6"/>
  <c r="AJ59" i="6"/>
  <c r="AK59" i="6"/>
  <c r="AQ98" i="6"/>
  <c r="AP98" i="6"/>
  <c r="AQ111" i="6"/>
  <c r="AP111" i="6"/>
  <c r="AK119" i="6"/>
  <c r="AJ119" i="6"/>
  <c r="X5" i="6"/>
  <c r="I16" i="5"/>
  <c r="AK53" i="6"/>
  <c r="AJ53" i="6"/>
  <c r="AN106" i="6"/>
  <c r="AO106" i="6"/>
  <c r="AO116" i="6"/>
  <c r="AN116" i="6"/>
  <c r="AQ36" i="6"/>
  <c r="AP36" i="6"/>
  <c r="AG90" i="6"/>
  <c r="AF90" i="6"/>
  <c r="AG10" i="6"/>
  <c r="AF10" i="6"/>
  <c r="AG82" i="6"/>
  <c r="AF82" i="6"/>
  <c r="AG120" i="6"/>
  <c r="AF120" i="6"/>
  <c r="AQ84" i="6"/>
  <c r="AP84" i="6"/>
  <c r="AO21" i="6"/>
  <c r="AN21" i="6"/>
  <c r="AJ35" i="6"/>
  <c r="AK35" i="6"/>
  <c r="AG4" i="6"/>
  <c r="AF4" i="6"/>
  <c r="AO72" i="6"/>
  <c r="AN72" i="6"/>
  <c r="AO50" i="6"/>
  <c r="AN50" i="6"/>
  <c r="AG78" i="6"/>
  <c r="AF78" i="6"/>
  <c r="AQ99" i="6"/>
  <c r="AP99" i="6"/>
  <c r="K2" i="5"/>
  <c r="AG56" i="6"/>
  <c r="AF56" i="6"/>
  <c r="AQ108" i="6"/>
  <c r="AP108" i="6"/>
  <c r="AI114" i="6"/>
  <c r="AH114" i="6"/>
  <c r="AH105" i="6"/>
  <c r="AI105" i="6"/>
  <c r="AN67" i="6"/>
  <c r="AO67" i="6"/>
  <c r="AF75" i="6"/>
  <c r="AG75" i="6"/>
  <c r="AI116" i="6"/>
  <c r="AH116" i="6"/>
  <c r="AQ57" i="6"/>
  <c r="AP57" i="6"/>
  <c r="AQ121" i="6"/>
  <c r="AP121" i="6"/>
  <c r="AO9" i="6"/>
  <c r="AN9" i="6"/>
  <c r="AF36" i="6"/>
  <c r="AG36" i="6"/>
  <c r="AO60" i="6"/>
  <c r="AN60" i="6"/>
  <c r="X8" i="6"/>
  <c r="I5" i="5"/>
  <c r="AI3" i="6"/>
  <c r="AH3" i="6"/>
  <c r="K11" i="5"/>
  <c r="AO52" i="6"/>
  <c r="AN52" i="6"/>
  <c r="AG107" i="6"/>
  <c r="AF107" i="6"/>
  <c r="AQ2" i="6"/>
  <c r="AP2" i="6"/>
  <c r="AQ90" i="6"/>
  <c r="AP90" i="6"/>
  <c r="AG28" i="6"/>
  <c r="AF28" i="6"/>
  <c r="AK38" i="6"/>
  <c r="AJ38" i="6"/>
  <c r="AI39" i="6"/>
  <c r="AH39" i="6"/>
  <c r="K8" i="5"/>
  <c r="AP53" i="6"/>
  <c r="AQ53" i="6"/>
  <c r="AK96" i="6"/>
  <c r="AJ96" i="6"/>
  <c r="O15" i="5"/>
  <c r="AG52" i="6"/>
  <c r="AF52" i="6"/>
  <c r="AQ37" i="6"/>
  <c r="AP37" i="6"/>
  <c r="AG22" i="6"/>
  <c r="AF22" i="6"/>
  <c r="AO5" i="6"/>
  <c r="AN5" i="6"/>
  <c r="AK74" i="6"/>
  <c r="AJ74" i="6"/>
  <c r="AP116" i="6"/>
  <c r="AQ116" i="6"/>
  <c r="X17" i="6"/>
  <c r="I2" i="5"/>
  <c r="AG38" i="6"/>
  <c r="AF38" i="6"/>
  <c r="AF110" i="6"/>
  <c r="AG110" i="6"/>
  <c r="AP41" i="6"/>
  <c r="AQ41" i="6"/>
  <c r="AP77" i="6"/>
  <c r="AQ77" i="6"/>
  <c r="AQ14" i="6"/>
  <c r="AP14" i="6"/>
  <c r="O16" i="5"/>
  <c r="AG76" i="6"/>
  <c r="AF76" i="6"/>
  <c r="AO94" i="6"/>
  <c r="AN94" i="6"/>
  <c r="AO118" i="6"/>
  <c r="AN118" i="6"/>
  <c r="AP23" i="6"/>
  <c r="AQ23" i="6"/>
  <c r="AJ83" i="6"/>
  <c r="AK83" i="6"/>
  <c r="AP11" i="6"/>
  <c r="AQ11" i="6"/>
  <c r="AQ72" i="6"/>
  <c r="AP72" i="6"/>
  <c r="AF62" i="6"/>
  <c r="AG62" i="6"/>
  <c r="AQ50" i="6"/>
  <c r="AP50" i="6"/>
  <c r="X35" i="6"/>
  <c r="I4" i="5"/>
  <c r="AG65" i="6"/>
  <c r="AF65" i="6"/>
  <c r="AO81" i="6"/>
  <c r="AN81" i="6"/>
  <c r="AH104" i="6"/>
  <c r="AI104" i="6"/>
  <c r="K7" i="5"/>
  <c r="AI121" i="6"/>
  <c r="AH121" i="6"/>
  <c r="AG71" i="6"/>
  <c r="AF71" i="6"/>
  <c r="AO40" i="6"/>
  <c r="AN40" i="6"/>
  <c r="AO97" i="6"/>
  <c r="AN97" i="6"/>
  <c r="AG70" i="6"/>
  <c r="AF70" i="6"/>
  <c r="AQ9" i="6"/>
  <c r="AP9" i="6"/>
  <c r="AO34" i="6"/>
  <c r="AN34" i="6"/>
  <c r="AG113" i="6"/>
  <c r="AF113" i="6"/>
  <c r="AN113" i="6"/>
  <c r="AO113" i="6"/>
  <c r="AQ60" i="6"/>
  <c r="AP60" i="6"/>
  <c r="AG19" i="6"/>
  <c r="AF19" i="6"/>
  <c r="AO8" i="6"/>
  <c r="AN8" i="6"/>
  <c r="AP65" i="6"/>
  <c r="AQ65" i="6"/>
  <c r="X104" i="6"/>
  <c r="I7" i="5"/>
  <c r="AQ52" i="6"/>
  <c r="AP52" i="6"/>
  <c r="AI44" i="6"/>
  <c r="AH44" i="6"/>
  <c r="AO88" i="6"/>
  <c r="AN88" i="6"/>
  <c r="AG29" i="6"/>
  <c r="AF29" i="6"/>
  <c r="AG101" i="6"/>
  <c r="AF101" i="6"/>
  <c r="AO19" i="6"/>
  <c r="AN19" i="6"/>
  <c r="AG44" i="6"/>
  <c r="AF44" i="6"/>
  <c r="AI87" i="6"/>
  <c r="AH87" i="6"/>
  <c r="AG60" i="6"/>
  <c r="AF60" i="6"/>
  <c r="AO115" i="6"/>
  <c r="AN115" i="6"/>
  <c r="AI60" i="6"/>
  <c r="AH60" i="6"/>
  <c r="AG7" i="6"/>
  <c r="AF7" i="6"/>
  <c r="AQ5" i="6"/>
  <c r="AP5" i="6"/>
  <c r="AQ106" i="6"/>
  <c r="AP106" i="6"/>
  <c r="AG95" i="6"/>
  <c r="AF95" i="6"/>
  <c r="AO119" i="6"/>
  <c r="AN119" i="6"/>
  <c r="AQ17" i="6"/>
  <c r="AP17" i="6"/>
  <c r="AK26" i="6"/>
  <c r="AJ26" i="6"/>
  <c r="X4" i="6"/>
  <c r="I6" i="5"/>
  <c r="AQ21" i="6"/>
  <c r="AP21" i="6"/>
  <c r="AQ94" i="6"/>
  <c r="AP94" i="6"/>
  <c r="AQ118" i="6"/>
  <c r="AP118" i="6"/>
  <c r="AG55" i="6"/>
  <c r="AF55" i="6"/>
  <c r="AO105" i="6"/>
  <c r="AN105" i="6"/>
  <c r="AO117" i="6"/>
  <c r="AN117" i="6"/>
  <c r="AQ61" i="6"/>
  <c r="AP61" i="6"/>
  <c r="AO27" i="6"/>
  <c r="AN27" i="6"/>
  <c r="AO44" i="6"/>
  <c r="AN44" i="6"/>
  <c r="AG5" i="6"/>
  <c r="AF5" i="6"/>
  <c r="AQ102" i="6"/>
  <c r="AP102" i="6"/>
  <c r="AQ66" i="6"/>
  <c r="AP66" i="6"/>
  <c r="AG16" i="6"/>
  <c r="AF16" i="6"/>
  <c r="AN100" i="6"/>
  <c r="AO100" i="6"/>
  <c r="AI51" i="6"/>
  <c r="AH51" i="6"/>
  <c r="AO104" i="6"/>
  <c r="AN104" i="6"/>
  <c r="AF87" i="6"/>
  <c r="AG87" i="6"/>
  <c r="B9" i="7"/>
  <c r="I4" i="8" s="1"/>
  <c r="F3" i="7"/>
  <c r="C4" i="8" s="1"/>
  <c r="AK65" i="6"/>
  <c r="AJ65" i="6"/>
  <c r="AQ88" i="6"/>
  <c r="AP88" i="6"/>
  <c r="AG45" i="6"/>
  <c r="AF45" i="6"/>
  <c r="AG58" i="6"/>
  <c r="AF58" i="6"/>
  <c r="AQ25" i="6"/>
  <c r="AP25" i="6"/>
  <c r="AI8" i="6"/>
  <c r="AH8" i="6"/>
  <c r="K5" i="5"/>
  <c r="AO78" i="6"/>
  <c r="AN78" i="6"/>
  <c r="AO18" i="6"/>
  <c r="AN18" i="6"/>
  <c r="AJ114" i="6"/>
  <c r="AK114" i="6"/>
  <c r="AO96" i="6"/>
  <c r="AN96" i="6"/>
  <c r="AJ47" i="6"/>
  <c r="AK47" i="6"/>
  <c r="AO4" i="6"/>
  <c r="AN4" i="6"/>
  <c r="AF33" i="6"/>
  <c r="AG33" i="6"/>
  <c r="AF97" i="6"/>
  <c r="AG97" i="6"/>
  <c r="AK42" i="6"/>
  <c r="AJ42" i="6"/>
  <c r="AG48" i="6"/>
  <c r="AF48" i="6"/>
  <c r="B24" i="7"/>
  <c r="I5" i="8" s="1"/>
  <c r="AO15" i="6"/>
  <c r="AN15" i="6"/>
  <c r="AF93" i="6"/>
  <c r="AG93" i="6"/>
  <c r="AQ105" i="6"/>
  <c r="AP105" i="6"/>
  <c r="K4" i="5"/>
  <c r="AG35" i="6"/>
  <c r="AF35" i="6"/>
  <c r="AN86" i="6"/>
  <c r="AO86" i="6"/>
  <c r="AG106" i="6"/>
  <c r="AF106" i="6"/>
  <c r="AI66" i="6"/>
  <c r="AH66" i="6"/>
  <c r="AF108" i="6"/>
  <c r="AG108" i="6"/>
  <c r="AI99" i="6"/>
  <c r="AH99" i="6"/>
  <c r="AO48" i="6"/>
  <c r="AN48" i="6"/>
  <c r="O14" i="5"/>
  <c r="AG43" i="6"/>
  <c r="AF43" i="6"/>
  <c r="AK86" i="6"/>
  <c r="AJ86" i="6"/>
  <c r="AQ19" i="6"/>
  <c r="AP19" i="6"/>
  <c r="AO53" i="6"/>
  <c r="AN53" i="6"/>
  <c r="AQ78" i="6"/>
  <c r="AP78" i="6"/>
  <c r="AG88" i="6"/>
  <c r="AF88" i="6"/>
  <c r="AO37" i="6"/>
  <c r="AN37" i="6"/>
  <c r="AQ115" i="6"/>
  <c r="AP115" i="6"/>
  <c r="AK120" i="6"/>
  <c r="AJ120" i="6"/>
  <c r="AQ119" i="6"/>
  <c r="AP119" i="6"/>
  <c r="AO17" i="6"/>
  <c r="AN17" i="6"/>
  <c r="AQ96" i="6"/>
  <c r="AP96" i="6"/>
  <c r="AI74" i="6"/>
  <c r="AH74" i="6"/>
  <c r="AQ4" i="6"/>
  <c r="AP4" i="6"/>
  <c r="AG53" i="6"/>
  <c r="AF53" i="6"/>
  <c r="AI24" i="6"/>
  <c r="AH24" i="6"/>
  <c r="AO41" i="6"/>
  <c r="AN41" i="6"/>
  <c r="AO58" i="6"/>
  <c r="AN58" i="6"/>
  <c r="AG32" i="6"/>
  <c r="AF32" i="6"/>
  <c r="AO77" i="6"/>
  <c r="AN77" i="6"/>
  <c r="AG112" i="6"/>
  <c r="AF112" i="6"/>
  <c r="AO74" i="6"/>
  <c r="AN74" i="6"/>
  <c r="AO28" i="6"/>
  <c r="AN28" i="6"/>
  <c r="AQ85" i="6"/>
  <c r="AP85" i="6"/>
  <c r="AG47" i="6"/>
  <c r="AF47" i="6"/>
  <c r="AO11" i="6"/>
  <c r="AN11" i="6"/>
  <c r="AG77" i="6"/>
  <c r="AF77" i="6"/>
  <c r="AK39" i="6"/>
  <c r="AJ39" i="6"/>
  <c r="AH102" i="6"/>
  <c r="AI102" i="6"/>
  <c r="AF39" i="6"/>
  <c r="AG39" i="6"/>
  <c r="AQ97" i="6"/>
  <c r="AP97" i="6"/>
  <c r="AG74" i="6"/>
  <c r="AF74" i="6"/>
  <c r="AN43" i="6"/>
  <c r="AO43" i="6"/>
  <c r="AQ103" i="6"/>
  <c r="AP103" i="6"/>
  <c r="AO80" i="6"/>
  <c r="AN80" i="6"/>
  <c r="AK2" i="6"/>
  <c r="AJ2" i="6"/>
  <c r="AO108" i="6"/>
  <c r="AN108" i="6"/>
  <c r="AQ12" i="6"/>
  <c r="AP12" i="6"/>
  <c r="AQ113" i="6"/>
  <c r="AP113" i="6"/>
  <c r="O9" i="5"/>
  <c r="AQ8" i="6"/>
  <c r="AP8" i="6"/>
  <c r="AG72" i="6"/>
  <c r="AF72" i="6"/>
  <c r="AQ100" i="6"/>
  <c r="AP100" i="6"/>
  <c r="AF85" i="6"/>
  <c r="AG85" i="6"/>
  <c r="AQ76" i="6"/>
  <c r="AP76" i="6"/>
  <c r="AI30" i="6"/>
  <c r="AH30" i="6"/>
  <c r="O8" i="5"/>
  <c r="AG64" i="6"/>
  <c r="AF64" i="6"/>
  <c r="AI29" i="6"/>
  <c r="AH29" i="6"/>
  <c r="AG18" i="6"/>
  <c r="AF18" i="6"/>
  <c r="AO65" i="6"/>
  <c r="AN65" i="6"/>
  <c r="AQ104" i="6"/>
  <c r="AP104" i="6"/>
  <c r="AO68" i="6"/>
  <c r="AN68" i="6"/>
  <c r="X10" i="6"/>
  <c r="I14" i="5"/>
  <c r="AQ48" i="6"/>
  <c r="AP48" i="6"/>
  <c r="AI92" i="6"/>
  <c r="AH92" i="6"/>
  <c r="AG50" i="6"/>
  <c r="AF50" i="6"/>
  <c r="AO24" i="6"/>
  <c r="AN24" i="6"/>
  <c r="AQ93" i="6"/>
  <c r="AP93" i="6"/>
  <c r="O6" i="5"/>
  <c r="AN25" i="6"/>
  <c r="AO25" i="6"/>
  <c r="AG80" i="6"/>
  <c r="AF80" i="6"/>
  <c r="AO20" i="6"/>
  <c r="AN20" i="6"/>
  <c r="AQ7" i="6"/>
  <c r="AP7" i="6"/>
  <c r="AG96" i="6"/>
  <c r="AF96" i="6"/>
  <c r="AQ33" i="6"/>
  <c r="AP33" i="6"/>
  <c r="O12" i="5"/>
  <c r="AQ18" i="6"/>
  <c r="AP18" i="6"/>
  <c r="O5" i="5"/>
  <c r="AO82" i="6"/>
  <c r="AN82" i="6"/>
  <c r="AI54" i="6"/>
  <c r="AH54" i="6"/>
  <c r="AN91" i="6"/>
  <c r="AO91" i="6"/>
  <c r="AQ81" i="6"/>
  <c r="AP81" i="6"/>
  <c r="AG31" i="6"/>
  <c r="AF31" i="6"/>
  <c r="AI101" i="6"/>
  <c r="AH101" i="6"/>
  <c r="AQ58" i="6"/>
  <c r="AP58" i="6"/>
  <c r="AP89" i="6"/>
  <c r="AQ89" i="6"/>
  <c r="AN55" i="6"/>
  <c r="AO55" i="6"/>
  <c r="X6" i="6"/>
  <c r="I15" i="5"/>
  <c r="AO54" i="6"/>
  <c r="AN54" i="6"/>
  <c r="K14" i="5"/>
  <c r="AK76" i="6"/>
  <c r="AJ76" i="6"/>
  <c r="AO109" i="6"/>
  <c r="AN109" i="6"/>
  <c r="AG119" i="6"/>
  <c r="AF119" i="6"/>
  <c r="AQ74" i="6"/>
  <c r="AP74" i="6"/>
  <c r="AQ69" i="6"/>
  <c r="AP69" i="6"/>
  <c r="AO26" i="6"/>
  <c r="AN26" i="6"/>
  <c r="AN114" i="6"/>
  <c r="AO114" i="6"/>
  <c r="AQ28" i="6"/>
  <c r="AP28" i="6"/>
  <c r="AF63" i="6"/>
  <c r="AG63" i="6"/>
  <c r="AG91" i="6"/>
  <c r="AF91" i="6"/>
  <c r="AQ15" i="6"/>
  <c r="AP15" i="6"/>
  <c r="AQ10" i="6"/>
  <c r="AP10" i="6"/>
  <c r="AG79" i="6"/>
  <c r="AF79" i="6"/>
  <c r="O11" i="5"/>
  <c r="AO93" i="6"/>
  <c r="AN93" i="6"/>
  <c r="O3" i="5"/>
  <c r="AG12" i="6"/>
  <c r="AF12" i="6"/>
  <c r="AQ35" i="6"/>
  <c r="AP35" i="6"/>
  <c r="AG24" i="6"/>
  <c r="AF24" i="6"/>
  <c r="AQ34" i="6"/>
  <c r="AP34" i="6"/>
  <c r="AO57" i="6"/>
  <c r="AN57" i="6"/>
  <c r="AF21" i="6"/>
  <c r="AG21" i="6"/>
  <c r="AO76" i="6"/>
  <c r="AN76" i="6"/>
  <c r="AJ29" i="6"/>
  <c r="AK29" i="6"/>
  <c r="AK50" i="6"/>
  <c r="AJ50" i="6"/>
  <c r="AK51" i="6"/>
  <c r="AJ51" i="6"/>
  <c r="AI20" i="6"/>
  <c r="AH20" i="6"/>
  <c r="K12" i="5"/>
  <c r="AI50" i="6"/>
  <c r="AH50" i="6"/>
  <c r="AQ68" i="6"/>
  <c r="AP68" i="6"/>
  <c r="X22" i="6"/>
  <c r="I3" i="5"/>
  <c r="AO10" i="6"/>
  <c r="AN10" i="6"/>
  <c r="AK28" i="6"/>
  <c r="AJ28" i="6"/>
  <c r="AG66" i="6"/>
  <c r="AF66" i="6"/>
  <c r="AQ24" i="6"/>
  <c r="AP24" i="6"/>
  <c r="AG73" i="6"/>
  <c r="AF73" i="6"/>
  <c r="X20" i="6"/>
  <c r="I12" i="5"/>
  <c r="X13" i="6"/>
  <c r="I8" i="5"/>
  <c r="AQ73" i="6"/>
  <c r="AP73" i="6"/>
  <c r="AQ82" i="6"/>
  <c r="AP82" i="6"/>
  <c r="AK75" i="6"/>
  <c r="AJ75" i="6"/>
  <c r="AP91" i="6"/>
  <c r="AQ91" i="6"/>
  <c r="AG54" i="6"/>
  <c r="AF54" i="6"/>
  <c r="AG46" i="6"/>
  <c r="AF46" i="6"/>
  <c r="AG118" i="6"/>
  <c r="AF118" i="6"/>
  <c r="AQ55" i="6"/>
  <c r="AP55" i="6"/>
  <c r="AG84" i="6"/>
  <c r="AF84" i="6"/>
  <c r="AO6" i="6"/>
  <c r="AN6" i="6"/>
  <c r="AQ54" i="6"/>
  <c r="AP54" i="6"/>
  <c r="O4" i="5"/>
  <c r="AQ26" i="6"/>
  <c r="AP26" i="6"/>
  <c r="AQ114" i="6"/>
  <c r="AP114" i="6"/>
  <c r="AG2" i="6"/>
  <c r="AF2" i="6"/>
  <c r="AO42" i="6"/>
  <c r="AN42" i="6"/>
  <c r="AO64" i="6"/>
  <c r="AN64" i="6"/>
  <c r="AG42" i="6"/>
  <c r="AF42" i="6"/>
  <c r="AG114" i="6"/>
  <c r="AF114" i="6"/>
  <c r="AO51" i="6"/>
  <c r="AN51" i="6"/>
  <c r="AG68" i="6"/>
  <c r="AF68" i="6"/>
  <c r="AQ6" i="6"/>
  <c r="AP6" i="6"/>
  <c r="AK14" i="6"/>
  <c r="AJ14" i="6"/>
  <c r="AN85" i="6"/>
  <c r="AO85" i="6"/>
  <c r="AG83" i="6"/>
  <c r="AF83" i="6"/>
  <c r="AQ3" i="6"/>
  <c r="AP3" i="6"/>
  <c r="AQ29" i="6"/>
  <c r="AP29" i="6"/>
  <c r="AQ42" i="6"/>
  <c r="AP42" i="6"/>
  <c r="AQ64" i="6"/>
  <c r="AP64" i="6"/>
  <c r="AG26" i="6"/>
  <c r="AF26" i="6"/>
  <c r="AG98" i="6"/>
  <c r="AF98" i="6"/>
  <c r="AI56" i="6"/>
  <c r="AH56" i="6"/>
  <c r="AJ71" i="6"/>
  <c r="AK71" i="6"/>
  <c r="AI78" i="6"/>
  <c r="AH78" i="6"/>
  <c r="O2" i="5"/>
  <c r="AQ117" i="6"/>
  <c r="AP117" i="6"/>
  <c r="AF116" i="6"/>
  <c r="AG116" i="6"/>
  <c r="AF117" i="6"/>
  <c r="AG117" i="6"/>
  <c r="AG20" i="6"/>
  <c r="AF20" i="6"/>
  <c r="AN120" i="6"/>
  <c r="AO120" i="6"/>
  <c r="AN89" i="6"/>
  <c r="AO89" i="6"/>
  <c r="AP109" i="6"/>
  <c r="AQ109" i="6"/>
  <c r="AO69" i="6"/>
  <c r="AN69" i="6"/>
  <c r="AF99" i="6"/>
  <c r="AG99" i="6"/>
  <c r="B21" i="7"/>
  <c r="AK98" i="6"/>
  <c r="AJ98" i="6"/>
  <c r="AK99" i="6"/>
  <c r="AJ99" i="6"/>
  <c r="AN103" i="6"/>
  <c r="AO103" i="6"/>
  <c r="AO35" i="6"/>
  <c r="AN35" i="6"/>
  <c r="AQ43" i="6"/>
  <c r="AP43" i="6"/>
  <c r="AO102" i="6"/>
  <c r="AN102" i="6"/>
  <c r="AI98" i="6"/>
  <c r="AH98" i="6"/>
  <c r="AQ27" i="6"/>
  <c r="AP27" i="6"/>
  <c r="AK48" i="6"/>
  <c r="AJ48" i="6"/>
  <c r="AQ49" i="6"/>
  <c r="AP49" i="6"/>
  <c r="AQ71" i="6"/>
  <c r="AP71" i="6"/>
  <c r="AG8" i="6"/>
  <c r="AF8" i="6"/>
  <c r="AP83" i="6"/>
  <c r="AQ83" i="6"/>
  <c r="AF81" i="6"/>
  <c r="AG81" i="6"/>
  <c r="AQ45" i="6"/>
  <c r="AP45" i="6"/>
  <c r="AK40" i="6"/>
  <c r="AJ40" i="6"/>
  <c r="AG94" i="6"/>
  <c r="AF94" i="6"/>
  <c r="O10" i="5"/>
  <c r="AQ44" i="6"/>
  <c r="AP44" i="6"/>
  <c r="AO73" i="6"/>
  <c r="AN73" i="6"/>
  <c r="AG23" i="6"/>
  <c r="AF23" i="6"/>
  <c r="AQ110" i="6"/>
  <c r="AP110" i="6"/>
  <c r="AO66" i="6"/>
  <c r="AN66" i="6"/>
  <c r="AQ120" i="6"/>
  <c r="AP120" i="6"/>
  <c r="AO12" i="6"/>
  <c r="AN12" i="6"/>
  <c r="AO32" i="6"/>
  <c r="AN32" i="6"/>
  <c r="AG69" i="6"/>
  <c r="AF69" i="6"/>
  <c r="AG61" i="6"/>
  <c r="AF61" i="6"/>
  <c r="AI47" i="6"/>
  <c r="AH47" i="6"/>
  <c r="AO92" i="6"/>
  <c r="AN92" i="6"/>
  <c r="AG105" i="6"/>
  <c r="AF105" i="6"/>
  <c r="B6" i="7"/>
  <c r="AK41" i="6"/>
  <c r="AJ41" i="6"/>
  <c r="AO62" i="6"/>
  <c r="AN62" i="6"/>
  <c r="X3" i="6"/>
  <c r="I11" i="5"/>
  <c r="AO16" i="6"/>
  <c r="AN16" i="6"/>
  <c r="AG57" i="6"/>
  <c r="AF57" i="6"/>
  <c r="AG17" i="6"/>
  <c r="AF17" i="6"/>
  <c r="K15" i="5"/>
  <c r="AI57" i="6"/>
  <c r="AH57" i="6"/>
  <c r="AQ20" i="6"/>
  <c r="AP20" i="6"/>
  <c r="AF109" i="6"/>
  <c r="AG109" i="6"/>
  <c r="AN13" i="6"/>
  <c r="AO13" i="6"/>
  <c r="AI77" i="6"/>
  <c r="AH77" i="6"/>
  <c r="AO7" i="6"/>
  <c r="AN7" i="6"/>
  <c r="AQ51" i="6"/>
  <c r="AP51" i="6"/>
  <c r="AP101" i="6"/>
  <c r="AQ101" i="6"/>
  <c r="F6" i="7"/>
  <c r="AO110" i="6"/>
  <c r="AN110" i="6"/>
  <c r="AQ32" i="6"/>
  <c r="AP32" i="6"/>
  <c r="AO70" i="6"/>
  <c r="AN70" i="6"/>
  <c r="AG104" i="6"/>
  <c r="AF104" i="6"/>
  <c r="AQ92" i="6"/>
  <c r="AP92" i="6"/>
  <c r="AG40" i="6"/>
  <c r="AF40" i="6"/>
  <c r="AK62" i="6"/>
  <c r="AJ62" i="6"/>
  <c r="AI42" i="6"/>
  <c r="AH42" i="6"/>
  <c r="AQ62" i="6"/>
  <c r="AP62" i="6"/>
  <c r="AO46" i="6"/>
  <c r="AN46" i="6"/>
  <c r="AO3" i="6"/>
  <c r="AN3" i="6"/>
  <c r="AO29" i="6"/>
  <c r="AN29" i="6"/>
  <c r="AF9" i="6"/>
  <c r="AG9" i="6"/>
  <c r="AG41" i="6"/>
  <c r="AF41" i="6"/>
  <c r="AK57" i="6"/>
  <c r="AJ57" i="6"/>
  <c r="K16" i="5"/>
  <c r="F12" i="7" l="1"/>
  <c r="G4" i="8" s="1"/>
  <c r="B27" i="7"/>
  <c r="E5" i="8" s="1"/>
  <c r="B15" i="7"/>
  <c r="C5" i="8" s="1"/>
  <c r="F21" i="7"/>
  <c r="G5" i="8" s="1"/>
  <c r="F30" i="7"/>
  <c r="F9" i="7"/>
</calcChain>
</file>

<file path=xl/sharedStrings.xml><?xml version="1.0" encoding="utf-8"?>
<sst xmlns="http://schemas.openxmlformats.org/spreadsheetml/2006/main" count="1639" uniqueCount="428">
  <si>
    <t>Task ID</t>
  </si>
  <si>
    <t>Project Name</t>
  </si>
  <si>
    <t>Department</t>
  </si>
  <si>
    <t>Assigned To</t>
  </si>
  <si>
    <t>Role</t>
  </si>
  <si>
    <t>Priority</t>
  </si>
  <si>
    <t>Task Category</t>
  </si>
  <si>
    <t>Start Date</t>
  </si>
  <si>
    <t>Due Date</t>
  </si>
  <si>
    <t>Completion Date</t>
  </si>
  <si>
    <t>Task Status</t>
  </si>
  <si>
    <t>Progress %</t>
  </si>
  <si>
    <t>Estimated Hours</t>
  </si>
  <si>
    <t>Actual Hours</t>
  </si>
  <si>
    <t>Variance</t>
  </si>
  <si>
    <t>Remarks</t>
  </si>
  <si>
    <t>TSK-0001</t>
  </si>
  <si>
    <t>CRM Migration</t>
  </si>
  <si>
    <t>IT</t>
  </si>
  <si>
    <t>Pooja Reddy</t>
  </si>
  <si>
    <t xml:space="preserve"> Manager</t>
  </si>
  <si>
    <t>HIGH</t>
  </si>
  <si>
    <t>Research</t>
  </si>
  <si>
    <t>COMPLETED</t>
  </si>
  <si>
    <t xml:space="preserve"> 100</t>
  </si>
  <si>
    <t>Waiting for client feedback</t>
  </si>
  <si>
    <t>TSK-0002</t>
  </si>
  <si>
    <t>Product Launch</t>
  </si>
  <si>
    <t xml:space="preserve"> Sales</t>
  </si>
  <si>
    <t>Ananya Das</t>
  </si>
  <si>
    <t>Analyst</t>
  </si>
  <si>
    <t>Low</t>
  </si>
  <si>
    <t xml:space="preserve"> design</t>
  </si>
  <si>
    <t>on hold</t>
  </si>
  <si>
    <t>TSK-0003</t>
  </si>
  <si>
    <t>Marketing Campaign</t>
  </si>
  <si>
    <t xml:space="preserve">  HR</t>
  </si>
  <si>
    <t>Vikram Singh</t>
  </si>
  <si>
    <t>developer</t>
  </si>
  <si>
    <t xml:space="preserve"> planning</t>
  </si>
  <si>
    <t>On Hold</t>
  </si>
  <si>
    <t>Resource conflict</t>
  </si>
  <si>
    <t>TSK-0004</t>
  </si>
  <si>
    <t>Data Analytics Platform</t>
  </si>
  <si>
    <t>Finance</t>
  </si>
  <si>
    <t>Karan Malhotra</t>
  </si>
  <si>
    <t>tester</t>
  </si>
  <si>
    <t>high</t>
  </si>
  <si>
    <t>Planning</t>
  </si>
  <si>
    <t>NOT STARTED</t>
  </si>
  <si>
    <t>Need more resources</t>
  </si>
  <si>
    <t>TSK-0005</t>
  </si>
  <si>
    <t>Employee Onboarding</t>
  </si>
  <si>
    <t>it</t>
  </si>
  <si>
    <t>Meera Thakur</t>
  </si>
  <si>
    <t>manager</t>
  </si>
  <si>
    <t>critical</t>
  </si>
  <si>
    <t>Testing</t>
  </si>
  <si>
    <t xml:space="preserve"> On Hold</t>
  </si>
  <si>
    <t>final review stage</t>
  </si>
  <si>
    <t>TSK-0006</t>
  </si>
  <si>
    <t>FINANCE</t>
  </si>
  <si>
    <t>Deepak Nair</t>
  </si>
  <si>
    <t xml:space="preserve"> High</t>
  </si>
  <si>
    <t xml:space="preserve"> documentation</t>
  </si>
  <si>
    <t>IN PROGRESS</t>
  </si>
  <si>
    <t xml:space="preserve"> 73</t>
  </si>
  <si>
    <t>On track</t>
  </si>
  <si>
    <t>TSK-0007</t>
  </si>
  <si>
    <t>Mobile App v2</t>
  </si>
  <si>
    <t>Sneha Gupta</t>
  </si>
  <si>
    <t>Lead</t>
  </si>
  <si>
    <t xml:space="preserve"> Medium</t>
  </si>
  <si>
    <t>In Progress</t>
  </si>
  <si>
    <t>65%</t>
  </si>
  <si>
    <t>Stakeholder review next week</t>
  </si>
  <si>
    <t>TSK-0008</t>
  </si>
  <si>
    <t>Annual Audit</t>
  </si>
  <si>
    <t>Kavita Rao</t>
  </si>
  <si>
    <t>ANALYST</t>
  </si>
  <si>
    <t>Critical</t>
  </si>
  <si>
    <t>development</t>
  </si>
  <si>
    <t>in progress</t>
  </si>
  <si>
    <t>Priority shifted</t>
  </si>
  <si>
    <t>TSK-0009</t>
  </si>
  <si>
    <t>HR</t>
  </si>
  <si>
    <t>Sanjay Kulkarni</t>
  </si>
  <si>
    <t>designer</t>
  </si>
  <si>
    <t>Rescheduled</t>
  </si>
  <si>
    <t>TSK-0010</t>
  </si>
  <si>
    <t>Supply Chain Optimization</t>
  </si>
  <si>
    <t>Designer</t>
  </si>
  <si>
    <t>deployment</t>
  </si>
  <si>
    <t>TSK-0011</t>
  </si>
  <si>
    <t xml:space="preserve"> IT</t>
  </si>
  <si>
    <t>Deployment</t>
  </si>
  <si>
    <t xml:space="preserve"> 62</t>
  </si>
  <si>
    <t>Almost done</t>
  </si>
  <si>
    <t>TSK-0012</t>
  </si>
  <si>
    <t>hr</t>
  </si>
  <si>
    <t>Arjun Mehta</t>
  </si>
  <si>
    <t>Tester</t>
  </si>
  <si>
    <t>MEDIUM</t>
  </si>
  <si>
    <t>Needs QA sign-off</t>
  </si>
  <si>
    <t>TSK-0013</t>
  </si>
  <si>
    <t xml:space="preserve"> Critical</t>
  </si>
  <si>
    <t>cancelled</t>
  </si>
  <si>
    <t>TSK-0014</t>
  </si>
  <si>
    <t>sales</t>
  </si>
  <si>
    <t>Documentation</t>
  </si>
  <si>
    <t>100%</t>
  </si>
  <si>
    <t xml:space="preserve"> escalated to management</t>
  </si>
  <si>
    <t>TSK-0015</t>
  </si>
  <si>
    <t>Website Redesign</t>
  </si>
  <si>
    <t>operations</t>
  </si>
  <si>
    <t xml:space="preserve"> In Progress</t>
  </si>
  <si>
    <t>TSK-0016</t>
  </si>
  <si>
    <t>Rahul Sharma</t>
  </si>
  <si>
    <t>Cancelled</t>
  </si>
  <si>
    <t>TSK-0017</t>
  </si>
  <si>
    <t>TSK-0018</t>
  </si>
  <si>
    <t>High</t>
  </si>
  <si>
    <t>TSK-0019</t>
  </si>
  <si>
    <t>Rohan Iyer</t>
  </si>
  <si>
    <t>completed</t>
  </si>
  <si>
    <t>TSK-0020</t>
  </si>
  <si>
    <t>testing</t>
  </si>
  <si>
    <t>not started</t>
  </si>
  <si>
    <t>TSK-0021</t>
  </si>
  <si>
    <t>Priya Patel</t>
  </si>
  <si>
    <t>Manager</t>
  </si>
  <si>
    <t>research</t>
  </si>
  <si>
    <t xml:space="preserve"> Completed</t>
  </si>
  <si>
    <t>TSK-0022</t>
  </si>
  <si>
    <t>TSK-0023</t>
  </si>
  <si>
    <t xml:space="preserve">   Waiting on approval  </t>
  </si>
  <si>
    <t>TSK-0024</t>
  </si>
  <si>
    <t>Sales</t>
  </si>
  <si>
    <t>Coordinator</t>
  </si>
  <si>
    <t>Development</t>
  </si>
  <si>
    <t xml:space="preserve"> 22</t>
  </si>
  <si>
    <t>TSK-0025</t>
  </si>
  <si>
    <t>IT Infrastructure</t>
  </si>
  <si>
    <t>Marketing</t>
  </si>
  <si>
    <t xml:space="preserve"> Low</t>
  </si>
  <si>
    <t>TSK-0026</t>
  </si>
  <si>
    <t>TSK-0027</t>
  </si>
  <si>
    <t xml:space="preserve"> marketing</t>
  </si>
  <si>
    <t>TSK-0028</t>
  </si>
  <si>
    <t>Team capacity issue</t>
  </si>
  <si>
    <t>TSK-0029</t>
  </si>
  <si>
    <t>Medium</t>
  </si>
  <si>
    <t>Completed</t>
  </si>
  <si>
    <t>TSK-0030</t>
  </si>
  <si>
    <t>low</t>
  </si>
  <si>
    <t>Budget approved</t>
  </si>
  <si>
    <t>TSK-0031</t>
  </si>
  <si>
    <t xml:space="preserve">finance </t>
  </si>
  <si>
    <t>review</t>
  </si>
  <si>
    <t>Scope changed mid-sprint</t>
  </si>
  <si>
    <t>TSK-0032</t>
  </si>
  <si>
    <t xml:space="preserve"> coordinator</t>
  </si>
  <si>
    <t>62%</t>
  </si>
  <si>
    <t>TSK-0033</t>
  </si>
  <si>
    <t xml:space="preserve"> analyst</t>
  </si>
  <si>
    <t>no blockers</t>
  </si>
  <si>
    <t>TSK-0034</t>
  </si>
  <si>
    <t>Amit Verma</t>
  </si>
  <si>
    <t>Delayed due to dependency</t>
  </si>
  <si>
    <t>TSK-0035</t>
  </si>
  <si>
    <t>lead</t>
  </si>
  <si>
    <t>TSK-0036</t>
  </si>
  <si>
    <t>TSK-0037</t>
  </si>
  <si>
    <t>medium</t>
  </si>
  <si>
    <t xml:space="preserve"> Development</t>
  </si>
  <si>
    <t xml:space="preserve"> 64</t>
  </si>
  <si>
    <t>TSK-0038</t>
  </si>
  <si>
    <t xml:space="preserve"> Operations</t>
  </si>
  <si>
    <t xml:space="preserve"> 0</t>
  </si>
  <si>
    <t>TSK-0039</t>
  </si>
  <si>
    <t>TSK-0040</t>
  </si>
  <si>
    <t>TSK-0041</t>
  </si>
  <si>
    <t>TSK-0042</t>
  </si>
  <si>
    <t>TSK-0043</t>
  </si>
  <si>
    <t>Operations</t>
  </si>
  <si>
    <t>Developer</t>
  </si>
  <si>
    <t>Design</t>
  </si>
  <si>
    <t>TSK-0044</t>
  </si>
  <si>
    <t>TSK-0045</t>
  </si>
  <si>
    <t>TSK-0046</t>
  </si>
  <si>
    <t xml:space="preserve"> 37</t>
  </si>
  <si>
    <t>TSK-0047</t>
  </si>
  <si>
    <t>Review</t>
  </si>
  <si>
    <t>Not Started</t>
  </si>
  <si>
    <t>TSK-0048</t>
  </si>
  <si>
    <t>LOW</t>
  </si>
  <si>
    <t>TSK-0049</t>
  </si>
  <si>
    <t xml:space="preserve"> Not Started</t>
  </si>
  <si>
    <t>TSK-0050</t>
  </si>
  <si>
    <t>60%</t>
  </si>
  <si>
    <t>TSK-0051</t>
  </si>
  <si>
    <t>33%</t>
  </si>
  <si>
    <t>TSK-0052</t>
  </si>
  <si>
    <t>TSK-0053</t>
  </si>
  <si>
    <t>TSK-0054</t>
  </si>
  <si>
    <t>TSK-0055</t>
  </si>
  <si>
    <t>TSK-0056</t>
  </si>
  <si>
    <t>40%</t>
  </si>
  <si>
    <t>TSK-0057</t>
  </si>
  <si>
    <t>TSK-0058</t>
  </si>
  <si>
    <t xml:space="preserve">  </t>
  </si>
  <si>
    <t>TSK-0059</t>
  </si>
  <si>
    <t>TSK-0060</t>
  </si>
  <si>
    <t>TSK-0061</t>
  </si>
  <si>
    <t>TSK-0062</t>
  </si>
  <si>
    <t>TSK-0063</t>
  </si>
  <si>
    <t>Blocked by vendor</t>
  </si>
  <si>
    <t>TSK-0064</t>
  </si>
  <si>
    <t>TSK-0065</t>
  </si>
  <si>
    <t>TSK-0066</t>
  </si>
  <si>
    <t>TSK-0067</t>
  </si>
  <si>
    <t>TSK-0068</t>
  </si>
  <si>
    <t>TSK-0069</t>
  </si>
  <si>
    <t>TSK-0070</t>
  </si>
  <si>
    <t>TSK-0071</t>
  </si>
  <si>
    <t xml:space="preserve"> 78</t>
  </si>
  <si>
    <t>TSK-0072</t>
  </si>
  <si>
    <t xml:space="preserve"> Developer</t>
  </si>
  <si>
    <t>TSK-0073</t>
  </si>
  <si>
    <t>TSK-0074</t>
  </si>
  <si>
    <t xml:space="preserve"> 71</t>
  </si>
  <si>
    <t>TSK-0075</t>
  </si>
  <si>
    <t>TSK-0076</t>
  </si>
  <si>
    <t>TSK-0077</t>
  </si>
  <si>
    <t>TSK-0078</t>
  </si>
  <si>
    <t>TSK-0079</t>
  </si>
  <si>
    <t>TSK-0080</t>
  </si>
  <si>
    <t>TSK-0081</t>
  </si>
  <si>
    <t>0</t>
  </si>
  <si>
    <t>TSK-0082</t>
  </si>
  <si>
    <t>TSK-0083</t>
  </si>
  <si>
    <t>Dependencies unresolved</t>
  </si>
  <si>
    <t>TSK-0084</t>
  </si>
  <si>
    <t>TSK-0085</t>
  </si>
  <si>
    <t>TSK-0086</t>
  </si>
  <si>
    <t>TSK-0087</t>
  </si>
  <si>
    <t>TSK-0088</t>
  </si>
  <si>
    <t>TSK-0089</t>
  </si>
  <si>
    <t>TSK-0090</t>
  </si>
  <si>
    <t>TSK-0091</t>
  </si>
  <si>
    <t>TSK-0092</t>
  </si>
  <si>
    <t>TSK-0093</t>
  </si>
  <si>
    <t>TSK-0094</t>
  </si>
  <si>
    <t>TSK-0095</t>
  </si>
  <si>
    <t>TSK-0096</t>
  </si>
  <si>
    <t>TSK-0097</t>
  </si>
  <si>
    <t>TSK-0098</t>
  </si>
  <si>
    <t>TSK-0099</t>
  </si>
  <si>
    <t>TSK-0100</t>
  </si>
  <si>
    <t>TSK-0101</t>
  </si>
  <si>
    <t>TSK-0102</t>
  </si>
  <si>
    <t>TSK-0103</t>
  </si>
  <si>
    <t>Neha Joshi</t>
  </si>
  <si>
    <t>TSK-0104</t>
  </si>
  <si>
    <t>TSK-0105</t>
  </si>
  <si>
    <t xml:space="preserve"> 25</t>
  </si>
  <si>
    <t>TSK-0106</t>
  </si>
  <si>
    <t>TSK-0107</t>
  </si>
  <si>
    <t>TSK-0108</t>
  </si>
  <si>
    <t>TSK-0109</t>
  </si>
  <si>
    <t>TSK-0110</t>
  </si>
  <si>
    <t>TSK-0111</t>
  </si>
  <si>
    <t>TSK-0112</t>
  </si>
  <si>
    <t>36%</t>
  </si>
  <si>
    <t>TSK-0113</t>
  </si>
  <si>
    <t>TSK-0114</t>
  </si>
  <si>
    <t>TSK-0115</t>
  </si>
  <si>
    <t>TSK-0116</t>
  </si>
  <si>
    <t>TSK-0117</t>
  </si>
  <si>
    <t>TSK-0118</t>
  </si>
  <si>
    <t>TSK-0119</t>
  </si>
  <si>
    <t>TSK-0120</t>
  </si>
  <si>
    <t>Messy_Priority</t>
  </si>
  <si>
    <t>Clean_Priority</t>
  </si>
  <si>
    <t>Messy_Status</t>
  </si>
  <si>
    <t>Clean_Status</t>
  </si>
  <si>
    <t>Messy_Department</t>
  </si>
  <si>
    <t>Clean_Department</t>
  </si>
  <si>
    <t>Messy_Category</t>
  </si>
  <si>
    <t>Clean_Category</t>
  </si>
  <si>
    <t>Messy_Role</t>
  </si>
  <si>
    <t>Clean_Role</t>
  </si>
  <si>
    <t>Valid_Priorities</t>
  </si>
  <si>
    <t>Valid_Statuses</t>
  </si>
  <si>
    <t>Valid_Departments</t>
  </si>
  <si>
    <t>Valid_Categories</t>
  </si>
  <si>
    <t>Valid_Roles</t>
  </si>
  <si>
    <t xml:space="preserve"> high</t>
  </si>
  <si>
    <t>It</t>
  </si>
  <si>
    <t>analyst</t>
  </si>
  <si>
    <t xml:space="preserve"> completed</t>
  </si>
  <si>
    <t>finance</t>
  </si>
  <si>
    <t xml:space="preserve"> testing</t>
  </si>
  <si>
    <t xml:space="preserve"> medium</t>
  </si>
  <si>
    <t xml:space="preserve"> finance</t>
  </si>
  <si>
    <t>DEVELOPER</t>
  </si>
  <si>
    <t>DESIGN</t>
  </si>
  <si>
    <t xml:space="preserve"> in progress</t>
  </si>
  <si>
    <t xml:space="preserve"> low</t>
  </si>
  <si>
    <t>MARKETING</t>
  </si>
  <si>
    <t xml:space="preserve"> research</t>
  </si>
  <si>
    <t>MANAGER</t>
  </si>
  <si>
    <t>marketing</t>
  </si>
  <si>
    <t>CRITICAL</t>
  </si>
  <si>
    <t xml:space="preserve"> not started</t>
  </si>
  <si>
    <t>PLANNING</t>
  </si>
  <si>
    <t xml:space="preserve"> designer</t>
  </si>
  <si>
    <t xml:space="preserve"> critical</t>
  </si>
  <si>
    <t>ON HOLD</t>
  </si>
  <si>
    <t xml:space="preserve"> hr</t>
  </si>
  <si>
    <t xml:space="preserve"> review</t>
  </si>
  <si>
    <t xml:space="preserve"> tester</t>
  </si>
  <si>
    <t xml:space="preserve"> on hold</t>
  </si>
  <si>
    <t>OPERATIONS</t>
  </si>
  <si>
    <t>DOCUMENTATION</t>
  </si>
  <si>
    <t>COORDINATOR</t>
  </si>
  <si>
    <t>CANCELLED</t>
  </si>
  <si>
    <t xml:space="preserve"> Cancelled</t>
  </si>
  <si>
    <t xml:space="preserve"> deployment</t>
  </si>
  <si>
    <t xml:space="preserve"> lead</t>
  </si>
  <si>
    <t xml:space="preserve"> cancelled</t>
  </si>
  <si>
    <t>SALES</t>
  </si>
  <si>
    <t>Is_Completed</t>
  </si>
  <si>
    <t>Is_Pending</t>
  </si>
  <si>
    <t>Is_Delayed</t>
  </si>
  <si>
    <t>Days_Open</t>
  </si>
  <si>
    <t>Delay_Days</t>
  </si>
  <si>
    <t>Cycle_Time_Days</t>
  </si>
  <si>
    <t>Lead_Time_Days</t>
  </si>
  <si>
    <t>Due_Month</t>
  </si>
  <si>
    <t>Start_Month</t>
  </si>
  <si>
    <t>Completion_Month</t>
  </si>
  <si>
    <t>Year</t>
  </si>
  <si>
    <t>Month_Number</t>
  </si>
  <si>
    <t>Month_Name</t>
  </si>
  <si>
    <t>Overdue_Flag</t>
  </si>
  <si>
    <t>High_Priority_Open_Flag</t>
  </si>
  <si>
    <t>SLA_Breach_Flag</t>
  </si>
  <si>
    <t>Stale_In_Progress_Flag</t>
  </si>
  <si>
    <t>Productivity_Flag</t>
  </si>
  <si>
    <t>On_Time_Flag</t>
  </si>
  <si>
    <t>Progress_Valid_Flag</t>
  </si>
  <si>
    <t>Employee</t>
  </si>
  <si>
    <t>Assigned Tasks</t>
  </si>
  <si>
    <t>Open Tasks</t>
  </si>
  <si>
    <t>Completed Tasks</t>
  </si>
  <si>
    <t>Total Est Hours</t>
  </si>
  <si>
    <t>Total Act Hours</t>
  </si>
  <si>
    <t>Avg Est Hours</t>
  </si>
  <si>
    <t>Avg Act Hours</t>
  </si>
  <si>
    <t>Avg Cycle Time</t>
  </si>
  <si>
    <t>Overdue Tasks</t>
  </si>
  <si>
    <t>High Priority Tasks</t>
  </si>
  <si>
    <t>Productivity Score</t>
  </si>
  <si>
    <t>Capacity Hours</t>
  </si>
  <si>
    <t>Utilization %</t>
  </si>
  <si>
    <t>Load Status</t>
  </si>
  <si>
    <t>Progress_Pct</t>
  </si>
  <si>
    <t>Is_Completed_Num</t>
  </si>
  <si>
    <t>Is_Pending_Num</t>
  </si>
  <si>
    <t>Is_Delayed_Num</t>
  </si>
  <si>
    <t>Overdue_Flag_Num</t>
  </si>
  <si>
    <t>High_Priority_Open_Flag_Num</t>
  </si>
  <si>
    <t>SLA_Breach_Flag_Num</t>
  </si>
  <si>
    <t>Stale_In_Progress_Flag_Num</t>
  </si>
  <si>
    <t>Productivity_Flag_Num</t>
  </si>
  <si>
    <t>On_Time_Flag_Num</t>
  </si>
  <si>
    <t>MANAGEMENT &amp; TASK TRACKING — KPI SUMMARY</t>
  </si>
  <si>
    <t>Total Tasks</t>
  </si>
  <si>
    <t>Pending Tasks</t>
  </si>
  <si>
    <t>Delayed Tasks</t>
  </si>
  <si>
    <t>Task Completion %</t>
  </si>
  <si>
    <t>Avg Completion Time</t>
  </si>
  <si>
    <t>Overdue Open Tasks</t>
  </si>
  <si>
    <t>On-Time Completion %</t>
  </si>
  <si>
    <t>Average Variance (hrs)</t>
  </si>
  <si>
    <t>Tasks Due This Month</t>
  </si>
  <si>
    <t>Tasks Completed This Month</t>
  </si>
  <si>
    <t>High Priority Open Tasks</t>
  </si>
  <si>
    <t>SLA Breaches</t>
  </si>
  <si>
    <t>Stale In Progress Tasks</t>
  </si>
  <si>
    <t>Average Days Open</t>
  </si>
  <si>
    <t>Average Cycle Time</t>
  </si>
  <si>
    <t>Total Estimated Hours</t>
  </si>
  <si>
    <t>Total Actual Hours</t>
  </si>
  <si>
    <t>Productivity Indicator</t>
  </si>
  <si>
    <t>Status</t>
  </si>
  <si>
    <t>Count</t>
  </si>
  <si>
    <t>Month</t>
  </si>
  <si>
    <t>2024-01</t>
  </si>
  <si>
    <t>2024-02</t>
  </si>
  <si>
    <t>2024-03</t>
  </si>
  <si>
    <t>2024-04</t>
  </si>
  <si>
    <t>2024-05</t>
  </si>
  <si>
    <t>2024-06</t>
  </si>
  <si>
    <t>2024-07</t>
  </si>
  <si>
    <t>2024-08</t>
  </si>
  <si>
    <t>2024-09</t>
  </si>
  <si>
    <t>2024-10</t>
  </si>
  <si>
    <t>2024-11</t>
  </si>
  <si>
    <t>2024-12</t>
  </si>
  <si>
    <t>2025-01</t>
  </si>
  <si>
    <t>2025-02</t>
  </si>
  <si>
    <t>2025-03</t>
  </si>
  <si>
    <t>Assigned</t>
  </si>
  <si>
    <t>Row Labels</t>
  </si>
  <si>
    <t>Grand Total</t>
  </si>
  <si>
    <t>Count of Task ID</t>
  </si>
  <si>
    <t>Column Labels</t>
  </si>
  <si>
    <t>📊  MANAGEMENT &amp; TASK TRACKING DASHBOARD</t>
  </si>
  <si>
    <t>Total</t>
  </si>
  <si>
    <t>Actual Hrs</t>
  </si>
  <si>
    <t>Task &amp; Resource Management  ·  FY 2024–2025</t>
  </si>
  <si>
    <t>TOTAL TASKS</t>
  </si>
  <si>
    <t>OVERDUE</t>
  </si>
  <si>
    <t>COMPLETION RATE</t>
  </si>
  <si>
    <t xml:space="preserve">  CHARTS &amp; ANALYSIS</t>
  </si>
  <si>
    <t xml:space="preserve">  FILTERS &amp;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</si>
</sst>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mm/dd/yyyy"/>
    <numFmt numFmtId="166" formatCode="dd\-mm\-yyyy"/>
    <numFmt numFmtId="167" formatCode="yyyy/mm/dd"/>
    <numFmt numFmtId="168" formatCode="0.0"/>
    <numFmt numFmtId="169" formatCode="0.0%"/>
  </numFmts>
  <fonts count="30" x14ac:knownFonts="1">
    <font>
      <sz val="11"/>
      <color theme="1"/>
      <name val="Calibri"/>
      <family val="2"/>
      <charset val="1"/>
    </font>
    <font>
      <b/>
      <sz val="11"/>
      <color rgb="FFFFFFFF"/>
      <name val="Arial"/>
      <family val="2"/>
    </font>
    <font>
      <sz val="10"/>
      <color rgb="FF404040"/>
      <name val="Arial"/>
      <family val="2"/>
    </font>
    <font>
      <b/>
      <sz val="16"/>
      <color rgb="FFFFFFFF"/>
      <name val="Arial"/>
      <family val="2"/>
    </font>
    <font>
      <b/>
      <sz val="14"/>
      <color rgb="FF1B3A5C"/>
      <name val="Arial"/>
      <family val="2"/>
    </font>
    <font>
      <b/>
      <sz val="18"/>
      <color rgb="FFFFFFFF"/>
      <name val="Calibri"/>
      <family val="2"/>
      <charset val="1"/>
    </font>
    <font>
      <b/>
      <sz val="10"/>
      <color rgb="FF595959"/>
      <name val="Calibri"/>
      <family val="2"/>
      <charset val="1"/>
    </font>
    <font>
      <b/>
      <sz val="9"/>
      <color rgb="FFFFFFFF"/>
      <name val="Calibri"/>
      <family val="2"/>
      <charset val="1"/>
    </font>
    <font>
      <b/>
      <sz val="20"/>
      <color rgb="FF2E75B6"/>
      <name val="Calibri"/>
      <family val="2"/>
      <charset val="1"/>
    </font>
    <font>
      <b/>
      <sz val="20"/>
      <color rgb="FFED7D31"/>
      <name val="Calibri"/>
      <family val="2"/>
      <charset val="1"/>
    </font>
    <font>
      <b/>
      <sz val="20"/>
      <color rgb="FF7030A0"/>
      <name val="Calibri"/>
      <family val="2"/>
      <charset val="1"/>
    </font>
    <font>
      <b/>
      <sz val="20"/>
      <color rgb="FFC55A11"/>
      <name val="Calibri"/>
      <family val="2"/>
      <charset val="1"/>
    </font>
    <font>
      <b/>
      <sz val="11"/>
      <color rgb="FFFFFFFF"/>
      <name val="Calibri"/>
      <family val="2"/>
      <charset val="1"/>
    </font>
    <font>
      <b/>
      <i/>
      <sz val="10"/>
      <color rgb="FFFFFFFF"/>
      <name val="Calibri"/>
      <family val="2"/>
      <charset val="1"/>
    </font>
    <font>
      <i/>
      <sz val="9"/>
      <color rgb="FFFFFFFF"/>
      <name val="Calibri"/>
      <family val="2"/>
      <charset val="1"/>
    </font>
    <font>
      <b/>
      <sz val="8"/>
      <color rgb="FFFFFFFF"/>
      <name val="Calibri"/>
      <family val="2"/>
      <charset val="1"/>
    </font>
    <font>
      <b/>
      <sz val="28"/>
      <color rgb="FF1F3864"/>
      <name val="Calibri"/>
      <family val="2"/>
      <charset val="1"/>
    </font>
    <font>
      <b/>
      <sz val="28"/>
      <color rgb="FF375623"/>
      <name val="Calibri"/>
      <family val="2"/>
      <charset val="1"/>
    </font>
    <font>
      <b/>
      <sz val="28"/>
      <color rgb="FF833C00"/>
      <name val="Calibri"/>
      <family val="2"/>
      <charset val="1"/>
    </font>
    <font>
      <b/>
      <sz val="28"/>
      <color rgb="FF7B0000"/>
      <name val="Calibri"/>
      <family val="2"/>
      <charset val="1"/>
    </font>
    <font>
      <sz val="8"/>
      <color rgb="FF1F3864"/>
      <name val="Calibri"/>
      <family val="2"/>
      <charset val="1"/>
    </font>
    <font>
      <sz val="8"/>
      <color rgb="FF375623"/>
      <name val="Calibri"/>
      <family val="2"/>
      <charset val="1"/>
    </font>
    <font>
      <sz val="8"/>
      <color rgb="FF833C00"/>
      <name val="Calibri"/>
      <family val="2"/>
      <charset val="1"/>
    </font>
    <font>
      <sz val="8"/>
      <color rgb="FF7B0000"/>
      <name val="Calibri"/>
      <family val="2"/>
      <charset val="1"/>
    </font>
    <font>
      <b/>
      <sz val="10"/>
      <color rgb="FFFFFFFF"/>
      <name val="Calibri"/>
      <family val="2"/>
      <charset val="1"/>
    </font>
    <font>
      <sz val="11"/>
      <color rgb="FFFFFFFF"/>
      <name val="Calibri"/>
      <family val="2"/>
      <charset val="1"/>
    </font>
    <font>
      <sz val="11"/>
      <color rgb="FFF7F9FC"/>
      <name val="Calibri"/>
      <family val="2"/>
      <charset val="1"/>
    </font>
    <font>
      <b/>
      <sz val="28"/>
      <color rgb="FFFFFFFF"/>
      <name val="Calibri"/>
      <family val="2"/>
      <charset val="1"/>
    </font>
    <font>
      <b/>
      <sz val="20"/>
      <color rgb="FFFFFFFF"/>
      <name val="Calibri"/>
      <family val="2"/>
      <charset val="1"/>
    </font>
    <font>
      <sz val="8"/>
      <color rgb="FFFFFFFF"/>
      <name val="Calibri"/>
      <family val="2"/>
      <charset val="1"/>
    </font>
  </fonts>
  <fills count="23">
    <fill>
      <patternFill patternType="none"/>
    </fill>
    <fill>
      <patternFill patternType="gray125"/>
    </fill>
    <fill>
      <patternFill patternType="solid">
        <fgColor rgb="FF1B3A5C"/>
        <bgColor rgb="FF404040"/>
      </patternFill>
    </fill>
    <fill>
      <patternFill patternType="solid">
        <fgColor rgb="FFF2F2F2"/>
        <bgColor rgb="FFFFFFFF"/>
      </patternFill>
    </fill>
    <fill>
      <patternFill patternType="solid">
        <fgColor rgb="FF548235"/>
        <bgColor rgb="FF339966"/>
      </patternFill>
    </fill>
    <fill>
      <patternFill patternType="solid">
        <fgColor rgb="FFD6E4F0"/>
        <bgColor rgb="FFC6EFCE"/>
      </patternFill>
    </fill>
    <fill>
      <patternFill patternType="solid">
        <fgColor rgb="FF1F3864"/>
        <bgColor indexed="64"/>
      </patternFill>
    </fill>
    <fill>
      <patternFill patternType="solid">
        <fgColor rgb="FF2E75B6"/>
        <bgColor indexed="64"/>
      </patternFill>
    </fill>
    <fill>
      <patternFill patternType="solid">
        <fgColor rgb="FFED7D31"/>
        <bgColor indexed="64"/>
      </patternFill>
    </fill>
    <fill>
      <patternFill patternType="solid">
        <fgColor rgb="FF7030A0"/>
        <bgColor indexed="64"/>
      </patternFill>
    </fill>
    <fill>
      <patternFill patternType="solid">
        <fgColor rgb="FFC55A11"/>
        <bgColor indexed="64"/>
      </patternFill>
    </fill>
    <fill>
      <patternFill patternType="solid">
        <fgColor rgb="FF4472C4"/>
        <bgColor indexed="64"/>
      </patternFill>
    </fill>
    <fill>
      <patternFill patternType="solid">
        <fgColor rgb="FF2E4B87"/>
        <bgColor indexed="64"/>
      </patternFill>
    </fill>
    <fill>
      <patternFill patternType="solid">
        <fgColor rgb="FFD6E4F7"/>
        <bgColor indexed="64"/>
      </patternFill>
    </fill>
    <fill>
      <patternFill patternType="solid">
        <fgColor rgb="FF375623"/>
        <bgColor indexed="64"/>
      </patternFill>
    </fill>
    <fill>
      <patternFill patternType="solid">
        <fgColor rgb="FFE2EFDA"/>
        <bgColor indexed="64"/>
      </patternFill>
    </fill>
    <fill>
      <patternFill patternType="solid">
        <fgColor rgb="FF833C00"/>
        <bgColor indexed="64"/>
      </patternFill>
    </fill>
    <fill>
      <patternFill patternType="solid">
        <fgColor rgb="FFFCE4D6"/>
        <bgColor indexed="64"/>
      </patternFill>
    </fill>
    <fill>
      <patternFill patternType="solid">
        <fgColor rgb="FF7B0000"/>
        <bgColor indexed="64"/>
      </patternFill>
    </fill>
    <fill>
      <patternFill patternType="solid">
        <fgColor rgb="FFFFE0E0"/>
        <bgColor indexed="64"/>
      </patternFill>
    </fill>
    <fill>
      <patternFill patternType="solid">
        <fgColor rgb="FF203864"/>
        <bgColor indexed="64"/>
      </patternFill>
    </fill>
    <fill>
      <patternFill patternType="solid">
        <fgColor rgb="FFDEEAF1"/>
        <bgColor indexed="64"/>
      </patternFill>
    </fill>
    <fill>
      <patternFill patternType="solid">
        <fgColor rgb="FFF7F9FC"/>
        <bgColor indexed="64"/>
      </patternFill>
    </fill>
  </fills>
  <borders count="18">
    <border>
      <left/>
      <right/>
      <top/>
      <bottom/>
      <diagonal/>
    </border>
    <border>
      <left style="thin">
        <color rgb="FFB0B0B0"/>
      </left>
      <right style="thin">
        <color rgb="FFB0B0B0"/>
      </right>
      <top style="thin">
        <color rgb="FFB0B0B0"/>
      </top>
      <bottom style="thin">
        <color rgb="FFB0B0B0"/>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D9D9D9"/>
      </left>
      <right/>
      <top style="thick">
        <color rgb="FF1F3864"/>
      </top>
      <bottom/>
      <diagonal/>
    </border>
    <border>
      <left/>
      <right/>
      <top style="thick">
        <color rgb="FF1F3864"/>
      </top>
      <bottom/>
      <diagonal/>
    </border>
    <border>
      <left style="thin">
        <color rgb="FFD9D9D9"/>
      </left>
      <right/>
      <top style="thick">
        <color rgb="FF375623"/>
      </top>
      <bottom/>
      <diagonal/>
    </border>
    <border>
      <left/>
      <right/>
      <top style="thick">
        <color rgb="FF375623"/>
      </top>
      <bottom/>
      <diagonal/>
    </border>
    <border>
      <left style="thin">
        <color rgb="FFD9D9D9"/>
      </left>
      <right/>
      <top style="thick">
        <color rgb="FF833C00"/>
      </top>
      <bottom/>
      <diagonal/>
    </border>
    <border>
      <left/>
      <right/>
      <top style="thick">
        <color rgb="FF7B0000"/>
      </top>
      <bottom/>
      <diagonal/>
    </border>
    <border>
      <left style="thin">
        <color rgb="FFD9D9D9"/>
      </left>
      <right/>
      <top style="thick">
        <color rgb="FF203864"/>
      </top>
      <bottom/>
      <diagonal/>
    </border>
    <border>
      <left/>
      <right style="thin">
        <color rgb="FFD9D9D9"/>
      </right>
      <top style="thick">
        <color rgb="FF203864"/>
      </top>
      <bottom/>
      <diagonal/>
    </border>
    <border>
      <left/>
      <right/>
      <top style="thin">
        <color rgb="FFD9D9D9"/>
      </top>
      <bottom/>
      <diagonal/>
    </border>
    <border>
      <left/>
      <right/>
      <top/>
      <bottom style="thin">
        <color rgb="FFD9D9D9"/>
      </bottom>
      <diagonal/>
    </border>
    <border>
      <left/>
      <right style="medium">
        <color rgb="FFB0BBCC"/>
      </right>
      <top/>
      <bottom/>
      <diagonal/>
    </border>
    <border>
      <left/>
      <right style="medium">
        <color rgb="FFB0BBCC"/>
      </right>
      <top style="thick">
        <color rgb="FF833C00"/>
      </top>
      <bottom/>
      <diagonal/>
    </border>
    <border>
      <left/>
      <right style="medium">
        <color rgb="FFB0BBCC"/>
      </right>
      <top/>
      <bottom style="thin">
        <color rgb="FFD9D9D9"/>
      </bottom>
      <diagonal/>
    </border>
    <border>
      <left/>
      <right style="medium">
        <color rgb="FFB0BBCC"/>
      </right>
      <top style="thin">
        <color rgb="FFD9D9D9"/>
      </top>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164" fontId="2" fillId="0" borderId="1" xfId="0" applyNumberFormat="1" applyFont="1" applyBorder="1" applyAlignment="1">
      <alignment vertical="center"/>
    </xf>
    <xf numFmtId="165" fontId="2" fillId="0" borderId="1" xfId="0" applyNumberFormat="1" applyFont="1" applyBorder="1" applyAlignment="1">
      <alignment vertical="center"/>
    </xf>
    <xf numFmtId="0" fontId="2" fillId="3" borderId="1" xfId="0" applyFont="1" applyFill="1" applyBorder="1" applyAlignment="1">
      <alignment vertical="center"/>
    </xf>
    <xf numFmtId="165" fontId="2" fillId="3" borderId="1" xfId="0" applyNumberFormat="1" applyFont="1" applyFill="1" applyBorder="1" applyAlignment="1">
      <alignment vertical="center"/>
    </xf>
    <xf numFmtId="166" fontId="2" fillId="0" borderId="1" xfId="0" applyNumberFormat="1" applyFont="1" applyBorder="1" applyAlignment="1">
      <alignment vertical="center"/>
    </xf>
    <xf numFmtId="164" fontId="2" fillId="3" borderId="1" xfId="0" applyNumberFormat="1" applyFont="1" applyFill="1" applyBorder="1" applyAlignment="1">
      <alignment vertical="center"/>
    </xf>
    <xf numFmtId="166" fontId="2" fillId="3" borderId="1" xfId="0" applyNumberFormat="1" applyFont="1" applyFill="1" applyBorder="1" applyAlignment="1">
      <alignment vertical="center"/>
    </xf>
    <xf numFmtId="167" fontId="2" fillId="0" borderId="1" xfId="0" applyNumberFormat="1" applyFont="1" applyBorder="1" applyAlignment="1">
      <alignment vertical="center"/>
    </xf>
    <xf numFmtId="14" fontId="2" fillId="0" borderId="1" xfId="0" applyNumberFormat="1" applyFont="1" applyBorder="1" applyAlignment="1">
      <alignment vertical="center"/>
    </xf>
    <xf numFmtId="14" fontId="2" fillId="3" borderId="1" xfId="0" applyNumberFormat="1" applyFont="1" applyFill="1" applyBorder="1" applyAlignment="1">
      <alignment vertical="center"/>
    </xf>
    <xf numFmtId="167" fontId="2" fillId="3" borderId="1" xfId="0" applyNumberFormat="1" applyFont="1" applyFill="1" applyBorder="1" applyAlignment="1">
      <alignment vertical="center"/>
    </xf>
    <xf numFmtId="0" fontId="1" fillId="4" borderId="1" xfId="0" applyFont="1" applyFill="1" applyBorder="1" applyAlignment="1">
      <alignment horizontal="center" vertical="center" wrapText="1"/>
    </xf>
    <xf numFmtId="9" fontId="2" fillId="0" borderId="1" xfId="0" applyNumberFormat="1" applyFont="1" applyBorder="1" applyAlignment="1">
      <alignment vertical="center"/>
    </xf>
    <xf numFmtId="168" fontId="2" fillId="0" borderId="1" xfId="0" applyNumberFormat="1" applyFont="1" applyBorder="1" applyAlignment="1">
      <alignment vertical="center"/>
    </xf>
    <xf numFmtId="9" fontId="2" fillId="3" borderId="1" xfId="0" applyNumberFormat="1" applyFont="1" applyFill="1" applyBorder="1" applyAlignment="1">
      <alignment vertical="center"/>
    </xf>
    <xf numFmtId="168" fontId="2" fillId="3" borderId="1" xfId="0" applyNumberFormat="1" applyFont="1" applyFill="1" applyBorder="1" applyAlignment="1">
      <alignment vertical="center"/>
    </xf>
    <xf numFmtId="0" fontId="2" fillId="0" borderId="1" xfId="0" applyFont="1" applyBorder="1" applyAlignment="1">
      <alignment vertical="center"/>
    </xf>
    <xf numFmtId="0" fontId="2" fillId="3" borderId="1" xfId="0" applyFont="1" applyFill="1" applyBorder="1" applyAlignment="1">
      <alignment vertical="center"/>
    </xf>
    <xf numFmtId="0" fontId="2" fillId="5" borderId="1" xfId="0" applyFont="1" applyFill="1" applyBorder="1" applyAlignment="1">
      <alignment horizontal="left" vertical="center"/>
    </xf>
    <xf numFmtId="0" fontId="4" fillId="5" borderId="1" xfId="0" applyFont="1" applyFill="1" applyBorder="1" applyAlignment="1">
      <alignment horizontal="center" vertical="center"/>
    </xf>
    <xf numFmtId="169" fontId="4" fillId="5" borderId="1" xfId="0" applyNumberFormat="1" applyFont="1" applyFill="1" applyBorder="1" applyAlignment="1">
      <alignment horizontal="center" vertical="center"/>
    </xf>
    <xf numFmtId="168" fontId="4" fillId="5" borderId="1" xfId="0" applyNumberFormat="1" applyFont="1" applyFill="1" applyBorder="1" applyAlignment="1">
      <alignment horizontal="center" vertical="center"/>
    </xf>
    <xf numFmtId="0" fontId="3" fillId="2" borderId="0" xfId="0" applyFont="1" applyFill="1" applyBorder="1" applyAlignment="1">
      <alignment horizontal="center" vertical="center"/>
    </xf>
    <xf numFmtId="169" fontId="2" fillId="0" borderId="1" xfId="0" applyNumberFormat="1" applyFont="1" applyBorder="1" applyAlignment="1">
      <alignment vertical="center"/>
    </xf>
    <xf numFmtId="169" fontId="2" fillId="3"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0" borderId="0" xfId="0"/>
    <xf numFmtId="0" fontId="5" fillId="6" borderId="0" xfId="0" applyFont="1" applyFill="1" applyAlignment="1">
      <alignment horizontal="center" vertical="center"/>
    </xf>
    <xf numFmtId="0" fontId="6" fillId="0" borderId="0" xfId="0" applyFont="1"/>
    <xf numFmtId="0" fontId="13" fillId="12" borderId="0" xfId="0" applyFont="1" applyFill="1" applyAlignment="1">
      <alignment horizontal="left"/>
    </xf>
    <xf numFmtId="0" fontId="14" fillId="12" borderId="0" xfId="0" applyFont="1" applyFill="1" applyAlignment="1">
      <alignment horizontal="right"/>
    </xf>
    <xf numFmtId="1" fontId="8" fillId="0" borderId="3" xfId="0" applyNumberFormat="1" applyFont="1" applyBorder="1" applyAlignment="1">
      <alignment horizontal="center" vertical="center"/>
    </xf>
    <xf numFmtId="1" fontId="16" fillId="13" borderId="2" xfId="0" applyNumberFormat="1" applyFont="1" applyFill="1" applyBorder="1" applyAlignment="1">
      <alignment horizontal="center" vertical="center"/>
    </xf>
    <xf numFmtId="0" fontId="15" fillId="6" borderId="4" xfId="0" applyFont="1" applyFill="1" applyBorder="1" applyAlignment="1">
      <alignment horizontal="center" vertical="center"/>
    </xf>
    <xf numFmtId="1" fontId="9" fillId="0" borderId="3" xfId="0" applyNumberFormat="1" applyFont="1" applyBorder="1" applyAlignment="1">
      <alignment horizontal="center" vertical="center"/>
    </xf>
    <xf numFmtId="1" fontId="17" fillId="15" borderId="2" xfId="0" applyNumberFormat="1" applyFont="1" applyFill="1" applyBorder="1" applyAlignment="1">
      <alignment horizontal="center" vertical="center"/>
    </xf>
    <xf numFmtId="0" fontId="7" fillId="7" borderId="5" xfId="0" applyFont="1" applyFill="1" applyBorder="1" applyAlignment="1">
      <alignment horizontal="center" vertical="center"/>
    </xf>
    <xf numFmtId="0" fontId="15" fillId="14" borderId="6" xfId="0" applyFont="1" applyFill="1" applyBorder="1" applyAlignment="1">
      <alignment horizontal="center" vertical="center"/>
    </xf>
    <xf numFmtId="1" fontId="18" fillId="17" borderId="2" xfId="0" applyNumberFormat="1" applyFont="1" applyFill="1" applyBorder="1" applyAlignment="1">
      <alignment horizontal="center" vertical="center"/>
    </xf>
    <xf numFmtId="0" fontId="7" fillId="8" borderId="7" xfId="0" applyFont="1" applyFill="1" applyBorder="1" applyAlignment="1">
      <alignment horizontal="center" vertical="center"/>
    </xf>
    <xf numFmtId="0" fontId="15" fillId="16" borderId="8" xfId="0" applyFont="1" applyFill="1" applyBorder="1" applyAlignment="1">
      <alignment horizontal="center" vertical="center"/>
    </xf>
    <xf numFmtId="1" fontId="11" fillId="0" borderId="3" xfId="0" applyNumberFormat="1" applyFont="1" applyBorder="1" applyAlignment="1">
      <alignment horizontal="center" vertical="center"/>
    </xf>
    <xf numFmtId="0" fontId="7" fillId="10" borderId="9" xfId="0" applyFont="1" applyFill="1" applyBorder="1" applyAlignment="1">
      <alignment horizontal="center" vertical="center"/>
    </xf>
    <xf numFmtId="0" fontId="15" fillId="20" borderId="10" xfId="0" applyFont="1" applyFill="1" applyBorder="1" applyAlignment="1">
      <alignment horizontal="center" vertical="center"/>
    </xf>
    <xf numFmtId="0" fontId="7" fillId="11" borderId="11" xfId="0" applyFont="1" applyFill="1" applyBorder="1" applyAlignment="1">
      <alignment horizontal="center" vertical="center"/>
    </xf>
    <xf numFmtId="0" fontId="0" fillId="0" borderId="12" xfId="0" applyBorder="1"/>
    <xf numFmtId="0" fontId="20" fillId="0" borderId="12" xfId="0" applyFont="1" applyBorder="1" applyAlignment="1">
      <alignment horizontal="center" vertical="center"/>
    </xf>
    <xf numFmtId="0" fontId="21" fillId="0" borderId="12" xfId="0" applyFont="1" applyBorder="1" applyAlignment="1">
      <alignment horizontal="center" vertical="center"/>
    </xf>
    <xf numFmtId="0" fontId="22" fillId="0" borderId="12" xfId="0" applyFont="1" applyBorder="1" applyAlignment="1">
      <alignment horizontal="center" vertical="center"/>
    </xf>
    <xf numFmtId="0" fontId="23" fillId="0" borderId="12" xfId="0" applyFont="1" applyBorder="1" applyAlignment="1">
      <alignment horizontal="center" vertical="center"/>
    </xf>
    <xf numFmtId="0" fontId="24" fillId="12" borderId="0" xfId="0" applyFont="1" applyFill="1" applyAlignment="1">
      <alignment vertical="center"/>
    </xf>
    <xf numFmtId="0" fontId="24" fillId="14" borderId="0" xfId="0" applyFont="1" applyFill="1" applyAlignment="1">
      <alignment vertical="center"/>
    </xf>
    <xf numFmtId="0" fontId="15" fillId="18" borderId="9" xfId="0" applyFont="1" applyFill="1" applyBorder="1" applyAlignment="1">
      <alignment horizontal="center" vertical="center"/>
    </xf>
    <xf numFmtId="1" fontId="19" fillId="19" borderId="13" xfId="0" applyNumberFormat="1" applyFont="1" applyFill="1" applyBorder="1" applyAlignment="1">
      <alignment horizontal="center" vertical="center"/>
    </xf>
    <xf numFmtId="0" fontId="5" fillId="6" borderId="14" xfId="0" applyFont="1" applyFill="1" applyBorder="1" applyAlignment="1">
      <alignment horizontal="center" vertical="center"/>
    </xf>
    <xf numFmtId="0" fontId="6" fillId="0" borderId="14" xfId="0" applyFont="1" applyBorder="1"/>
    <xf numFmtId="0" fontId="7" fillId="9" borderId="15" xfId="0" applyFont="1" applyFill="1" applyBorder="1" applyAlignment="1">
      <alignment horizontal="center" vertical="center"/>
    </xf>
    <xf numFmtId="169" fontId="10" fillId="0" borderId="16" xfId="0" applyNumberFormat="1" applyFont="1" applyBorder="1" applyAlignment="1">
      <alignment horizontal="center" vertical="center"/>
    </xf>
    <xf numFmtId="0" fontId="0" fillId="0" borderId="17" xfId="0" applyBorder="1"/>
    <xf numFmtId="0" fontId="0" fillId="0" borderId="14" xfId="0" applyBorder="1"/>
    <xf numFmtId="0" fontId="0" fillId="22" borderId="0" xfId="0" applyFill="1"/>
    <xf numFmtId="0" fontId="0" fillId="22" borderId="14" xfId="0" applyFill="1" applyBorder="1"/>
    <xf numFmtId="0" fontId="12" fillId="22" borderId="0" xfId="0" applyFont="1" applyFill="1"/>
    <xf numFmtId="0" fontId="26" fillId="22" borderId="0" xfId="0" applyFont="1" applyFill="1"/>
    <xf numFmtId="0" fontId="26" fillId="0" borderId="0" xfId="0" applyFont="1"/>
    <xf numFmtId="169" fontId="27" fillId="21" borderId="2" xfId="0" applyNumberFormat="1" applyFont="1" applyFill="1" applyBorder="1" applyAlignment="1">
      <alignment horizontal="center" vertical="center"/>
    </xf>
    <xf numFmtId="168" fontId="28" fillId="0" borderId="3" xfId="0" applyNumberFormat="1" applyFont="1" applyBorder="1" applyAlignment="1">
      <alignment horizontal="center" vertical="center"/>
    </xf>
    <xf numFmtId="0" fontId="29" fillId="0" borderId="12" xfId="0" applyFont="1" applyBorder="1" applyAlignment="1">
      <alignment horizontal="center" vertical="center"/>
    </xf>
    <xf numFmtId="0" fontId="25" fillId="0" borderId="12" xfId="0" applyFont="1" applyBorder="1"/>
  </cellXfs>
  <cellStyles count="1">
    <cellStyle name="Normal" xfId="0" builtinId="0"/>
  </cellStyles>
  <dxfs count="15">
    <dxf>
      <numFmt numFmtId="13" formatCode="0%"/>
    </dxf>
    <dxf>
      <numFmt numFmtId="167" formatCode="yyyy/mm/dd"/>
    </dxf>
    <dxf>
      <numFmt numFmtId="167" formatCode="yyyy/mm/dd"/>
    </dxf>
    <dxf>
      <numFmt numFmtId="167" formatCode="yyyy/mm/dd"/>
    </dxf>
    <dxf>
      <numFmt numFmtId="167" formatCode="yyyy/mm/dd"/>
    </dxf>
    <dxf>
      <numFmt numFmtId="167" formatCode="yyyy/mm/dd"/>
    </dxf>
    <dxf>
      <numFmt numFmtId="167" formatCode="yyyy/mm/dd"/>
    </dxf>
    <dxf>
      <numFmt numFmtId="169" formatCode="0.0%"/>
    </dxf>
    <dxf>
      <numFmt numFmtId="169" formatCode="0.0%"/>
    </dxf>
    <dxf>
      <font>
        <b/>
      </font>
    </dxf>
    <dxf>
      <font>
        <b/>
      </font>
    </dxf>
    <dxf>
      <font>
        <b/>
      </font>
    </dxf>
    <dxf>
      <numFmt numFmtId="13" formatCode="0%"/>
    </dxf>
    <dxf>
      <fill>
        <patternFill>
          <bgColor rgb="FFC6EFCE"/>
        </patternFill>
      </fill>
    </dxf>
    <dxf>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0B0B0"/>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CE4CC"/>
      <rgbColor rgb="FF99CCFF"/>
      <rgbColor rgb="FFFF99CC"/>
      <rgbColor rgb="FFCC99FF"/>
      <rgbColor rgb="FFFFC7CE"/>
      <rgbColor rgb="FF2E75B6"/>
      <rgbColor rgb="FF33CCCC"/>
      <rgbColor rgb="FF99CC00"/>
      <rgbColor rgb="FFFFCC00"/>
      <rgbColor rgb="FFFF9900"/>
      <rgbColor rgb="FFED7D31"/>
      <rgbColor rgb="FF666699"/>
      <rgbColor rgb="FF969696"/>
      <rgbColor rgb="FF1B3A5C"/>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Tasks by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doughnutChart>
        <c:varyColors val="1"/>
        <c:ser>
          <c:idx val="0"/>
          <c:order val="0"/>
          <c:spPr>
            <a:solidFill>
              <a:srgbClr val="2E75B6"/>
            </a:solidFill>
          </c:spPr>
          <c:dPt>
            <c:idx val="0"/>
            <c:bubble3D val="0"/>
            <c:spPr>
              <a:solidFill>
                <a:srgbClr val="2E75B6"/>
              </a:solidFill>
              <a:ln w="19050">
                <a:solidFill>
                  <a:schemeClr val="lt1"/>
                </a:solidFill>
              </a:ln>
              <a:effectLst/>
            </c:spPr>
          </c:dPt>
          <c:dPt>
            <c:idx val="1"/>
            <c:bubble3D val="0"/>
            <c:spPr>
              <a:solidFill>
                <a:srgbClr val="2E75B6"/>
              </a:solidFill>
              <a:ln w="19050">
                <a:solidFill>
                  <a:schemeClr val="lt1"/>
                </a:solidFill>
              </a:ln>
              <a:effectLst/>
            </c:spPr>
          </c:dPt>
          <c:dPt>
            <c:idx val="2"/>
            <c:bubble3D val="0"/>
            <c:spPr>
              <a:solidFill>
                <a:srgbClr val="2E75B6"/>
              </a:solidFill>
              <a:ln w="19050">
                <a:solidFill>
                  <a:schemeClr val="lt1"/>
                </a:solidFill>
              </a:ln>
              <a:effectLst/>
            </c:spPr>
          </c:dPt>
          <c:dPt>
            <c:idx val="3"/>
            <c:bubble3D val="0"/>
            <c:spPr>
              <a:solidFill>
                <a:srgbClr val="2E75B6"/>
              </a:solidFill>
              <a:ln w="19050">
                <a:solidFill>
                  <a:schemeClr val="lt1"/>
                </a:solidFill>
              </a:ln>
              <a:effectLst/>
            </c:spPr>
          </c:dPt>
          <c:dPt>
            <c:idx val="4"/>
            <c:bubble3D val="0"/>
            <c:spPr>
              <a:solidFill>
                <a:srgbClr val="2E75B6"/>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Dashboard!$G$8:$G$12</c:f>
              <c:strCache>
                <c:ptCount val="5"/>
                <c:pt idx="0">
                  <c:v>Completed</c:v>
                </c:pt>
                <c:pt idx="1">
                  <c:v>In Progress</c:v>
                </c:pt>
                <c:pt idx="2">
                  <c:v>Not Started</c:v>
                </c:pt>
                <c:pt idx="3">
                  <c:v>On Hold</c:v>
                </c:pt>
                <c:pt idx="4">
                  <c:v>Cancelled</c:v>
                </c:pt>
              </c:strCache>
            </c:strRef>
          </c:cat>
          <c:val>
            <c:numRef>
              <c:f>Dashboard!$H$8:$H$12</c:f>
              <c:numCache>
                <c:formatCode>General</c:formatCode>
                <c:ptCount val="5"/>
                <c:pt idx="0">
                  <c:v>28</c:v>
                </c:pt>
                <c:pt idx="1">
                  <c:v>30</c:v>
                </c:pt>
                <c:pt idx="2">
                  <c:v>22</c:v>
                </c:pt>
                <c:pt idx="3">
                  <c:v>25</c:v>
                </c:pt>
                <c:pt idx="4">
                  <c:v>15</c:v>
                </c:pt>
              </c:numCache>
            </c:numRef>
          </c:val>
          <c:extLst>
            <c:ext xmlns:c16="http://schemas.microsoft.com/office/drawing/2014/chart" uri="{C3380CC4-5D6E-409C-BE32-E72D297353CC}">
              <c16:uniqueId val="{00000000-9411-4E8A-AAA9-71CE3CA00C70}"/>
            </c:ext>
          </c:extLst>
        </c:ser>
        <c:dLbls>
          <c:showLegendKey val="0"/>
          <c:showVal val="0"/>
          <c:showCatName val="0"/>
          <c:showSerName val="0"/>
          <c:showPercent val="0"/>
          <c:showBubbleSize val="0"/>
          <c:showLeaderLines val="0"/>
        </c:dLbls>
        <c:firstSliceAng val="0"/>
        <c:holeSize val="75"/>
      </c:doughnutChart>
      <c:spPr>
        <a:solidFill>
          <a:srgbClr val="F9FAF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Priority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pieChart>
        <c:varyColors val="1"/>
        <c:ser>
          <c:idx val="0"/>
          <c:order val="0"/>
          <c:spPr>
            <a:solidFill>
              <a:srgbClr val="2E75B6"/>
            </a:solidFill>
          </c:spPr>
          <c:dPt>
            <c:idx val="0"/>
            <c:bubble3D val="0"/>
            <c:spPr>
              <a:solidFill>
                <a:srgbClr val="2E75B6"/>
              </a:solidFill>
              <a:ln w="19050">
                <a:solidFill>
                  <a:schemeClr val="lt1"/>
                </a:solidFill>
              </a:ln>
              <a:effectLst/>
            </c:spPr>
          </c:dPt>
          <c:dPt>
            <c:idx val="1"/>
            <c:bubble3D val="0"/>
            <c:spPr>
              <a:solidFill>
                <a:srgbClr val="2E75B6"/>
              </a:solidFill>
              <a:ln w="19050">
                <a:solidFill>
                  <a:schemeClr val="lt1"/>
                </a:solidFill>
              </a:ln>
              <a:effectLst/>
            </c:spPr>
          </c:dPt>
          <c:dPt>
            <c:idx val="2"/>
            <c:bubble3D val="0"/>
            <c:spPr>
              <a:solidFill>
                <a:srgbClr val="2E75B6"/>
              </a:solidFill>
              <a:ln w="19050">
                <a:solidFill>
                  <a:schemeClr val="lt1"/>
                </a:solidFill>
              </a:ln>
              <a:effectLst/>
            </c:spPr>
          </c:dPt>
          <c:dPt>
            <c:idx val="3"/>
            <c:bubble3D val="0"/>
            <c:spPr>
              <a:solidFill>
                <a:srgbClr val="2E75B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Dashboard!$G$24:$G$27</c:f>
              <c:strCache>
                <c:ptCount val="4"/>
                <c:pt idx="0">
                  <c:v>Critical</c:v>
                </c:pt>
                <c:pt idx="1">
                  <c:v>High</c:v>
                </c:pt>
                <c:pt idx="2">
                  <c:v>Medium</c:v>
                </c:pt>
                <c:pt idx="3">
                  <c:v>Low</c:v>
                </c:pt>
              </c:strCache>
            </c:strRef>
          </c:cat>
          <c:val>
            <c:numRef>
              <c:f>Dashboard!$H$24:$H$27</c:f>
              <c:numCache>
                <c:formatCode>General</c:formatCode>
                <c:ptCount val="4"/>
                <c:pt idx="0">
                  <c:v>29</c:v>
                </c:pt>
                <c:pt idx="1">
                  <c:v>43</c:v>
                </c:pt>
                <c:pt idx="2">
                  <c:v>27</c:v>
                </c:pt>
                <c:pt idx="3">
                  <c:v>21</c:v>
                </c:pt>
              </c:numCache>
            </c:numRef>
          </c:val>
          <c:extLst>
            <c:ext xmlns:c16="http://schemas.microsoft.com/office/drawing/2014/chart" uri="{C3380CC4-5D6E-409C-BE32-E72D297353CC}">
              <c16:uniqueId val="{00000000-41B5-423B-A5DE-9A1AAA1E024F}"/>
            </c:ext>
          </c:extLst>
        </c:ser>
        <c:dLbls>
          <c:showLegendKey val="0"/>
          <c:showVal val="0"/>
          <c:showCatName val="0"/>
          <c:showSerName val="0"/>
          <c:showPercent val="0"/>
          <c:showBubbleSize val="0"/>
          <c:showLeaderLines val="0"/>
        </c:dLbls>
        <c:firstSliceAng val="0"/>
      </c:pieChart>
      <c:spPr>
        <a:solidFill>
          <a:srgbClr val="F9FAF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Monthly Task Trend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lineChart>
        <c:grouping val="standard"/>
        <c:varyColors val="0"/>
        <c:ser>
          <c:idx val="0"/>
          <c:order val="0"/>
          <c:tx>
            <c:strRef>
              <c:f>Dashboard!$H$29</c:f>
              <c:strCache>
                <c:ptCount val="1"/>
                <c:pt idx="0">
                  <c:v>Completed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Dashboard!$G$30:$G$44</c:f>
              <c:strCache>
                <c:ptCount val="15"/>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strCache>
            </c:strRef>
          </c:cat>
          <c:val>
            <c:numRef>
              <c:f>Dashboard!$H$30:$H$44</c:f>
              <c:numCache>
                <c:formatCode>General</c:formatCode>
                <c:ptCount val="15"/>
                <c:pt idx="0">
                  <c:v>0</c:v>
                </c:pt>
                <c:pt idx="1">
                  <c:v>0</c:v>
                </c:pt>
                <c:pt idx="2">
                  <c:v>2</c:v>
                </c:pt>
                <c:pt idx="3">
                  <c:v>2</c:v>
                </c:pt>
                <c:pt idx="4">
                  <c:v>2</c:v>
                </c:pt>
                <c:pt idx="5">
                  <c:v>4</c:v>
                </c:pt>
                <c:pt idx="6">
                  <c:v>1</c:v>
                </c:pt>
                <c:pt idx="7">
                  <c:v>1</c:v>
                </c:pt>
                <c:pt idx="8">
                  <c:v>0</c:v>
                </c:pt>
                <c:pt idx="9">
                  <c:v>1</c:v>
                </c:pt>
                <c:pt idx="10">
                  <c:v>6</c:v>
                </c:pt>
                <c:pt idx="11">
                  <c:v>3</c:v>
                </c:pt>
                <c:pt idx="12">
                  <c:v>2</c:v>
                </c:pt>
                <c:pt idx="13">
                  <c:v>2</c:v>
                </c:pt>
                <c:pt idx="14">
                  <c:v>2</c:v>
                </c:pt>
              </c:numCache>
            </c:numRef>
          </c:val>
          <c:smooth val="0"/>
          <c:extLst>
            <c:ext xmlns:c16="http://schemas.microsoft.com/office/drawing/2014/chart" uri="{C3380CC4-5D6E-409C-BE32-E72D297353CC}">
              <c16:uniqueId val="{00000000-53B8-4D80-B8D7-C459E44E801E}"/>
            </c:ext>
          </c:extLst>
        </c:ser>
        <c:ser>
          <c:idx val="1"/>
          <c:order val="1"/>
          <c:tx>
            <c:strRef>
              <c:f>Dashboard!$I$29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Dashboard!$G$30:$G$44</c:f>
              <c:strCache>
                <c:ptCount val="15"/>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strCache>
            </c:strRef>
          </c:cat>
          <c:val>
            <c:numRef>
              <c:f>Dashboard!$I$30:$I$44</c:f>
              <c:numCache>
                <c:formatCode>General</c:formatCode>
                <c:ptCount val="15"/>
              </c:numCache>
            </c:numRef>
          </c:val>
          <c:smooth val="0"/>
          <c:extLst>
            <c:ext xmlns:c16="http://schemas.microsoft.com/office/drawing/2014/chart" uri="{C3380CC4-5D6E-409C-BE32-E72D297353CC}">
              <c16:uniqueId val="{00000001-53B8-4D80-B8D7-C459E44E801E}"/>
            </c:ext>
          </c:extLst>
        </c:ser>
        <c:dLbls>
          <c:showLegendKey val="0"/>
          <c:showVal val="0"/>
          <c:showCatName val="0"/>
          <c:showSerName val="0"/>
          <c:showPercent val="0"/>
          <c:showBubbleSize val="0"/>
        </c:dLbls>
        <c:marker val="1"/>
        <c:smooth val="0"/>
        <c:axId val="1128292703"/>
        <c:axId val="1202803311"/>
      </c:lineChart>
      <c:catAx>
        <c:axId val="112829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03311"/>
        <c:crosses val="autoZero"/>
        <c:auto val="1"/>
        <c:lblAlgn val="ctr"/>
        <c:lblOffset val="100"/>
        <c:noMultiLvlLbl val="0"/>
      </c:catAx>
      <c:valAx>
        <c:axId val="120280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92703"/>
        <c:crosses val="autoZero"/>
        <c:crossBetween val="between"/>
      </c:valAx>
      <c:spPr>
        <a:solidFill>
          <a:srgbClr val="F9FAFB"/>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Employee Task Summary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strRef>
              <c:f>Dashboard!$H$46</c:f>
              <c:strCache>
                <c:ptCount val="1"/>
                <c:pt idx="0">
                  <c:v>Assigned</c:v>
                </c:pt>
              </c:strCache>
            </c:strRef>
          </c:tx>
          <c:spPr>
            <a:solidFill>
              <a:schemeClr val="accent1"/>
            </a:solidFill>
            <a:ln>
              <a:noFill/>
            </a:ln>
            <a:effectLst/>
          </c:spPr>
          <c:invertIfNegative val="0"/>
          <c:cat>
            <c:strRef>
              <c:f>Dashboard!$G$47:$G$61</c:f>
              <c:strCache>
                <c:ptCount val="15"/>
                <c:pt idx="0">
                  <c:v>Rahul Sharma</c:v>
                </c:pt>
                <c:pt idx="1">
                  <c:v>Priya Patel</c:v>
                </c:pt>
                <c:pt idx="2">
                  <c:v>Amit Verma</c:v>
                </c:pt>
                <c:pt idx="3">
                  <c:v>Sneha Gupta</c:v>
                </c:pt>
                <c:pt idx="4">
                  <c:v>Vikram Singh</c:v>
                </c:pt>
                <c:pt idx="5">
                  <c:v>Neha Joshi</c:v>
                </c:pt>
                <c:pt idx="6">
                  <c:v>Arjun Mehta</c:v>
                </c:pt>
                <c:pt idx="7">
                  <c:v>Kavita Rao</c:v>
                </c:pt>
                <c:pt idx="8">
                  <c:v>Deepak Nair</c:v>
                </c:pt>
                <c:pt idx="9">
                  <c:v>Ananya Das</c:v>
                </c:pt>
                <c:pt idx="10">
                  <c:v>Rohan Iyer</c:v>
                </c:pt>
                <c:pt idx="11">
                  <c:v>Pooja Reddy</c:v>
                </c:pt>
                <c:pt idx="12">
                  <c:v>Sanjay Kulkarni</c:v>
                </c:pt>
                <c:pt idx="13">
                  <c:v>Meera Thakur</c:v>
                </c:pt>
                <c:pt idx="14">
                  <c:v>Karan Malhotra</c:v>
                </c:pt>
              </c:strCache>
            </c:strRef>
          </c:cat>
          <c:val>
            <c:numRef>
              <c:f>Dashboard!$H$47:$H$61</c:f>
              <c:numCache>
                <c:formatCode>General</c:formatCode>
                <c:ptCount val="15"/>
                <c:pt idx="0">
                  <c:v>7</c:v>
                </c:pt>
                <c:pt idx="1">
                  <c:v>11</c:v>
                </c:pt>
                <c:pt idx="2">
                  <c:v>11</c:v>
                </c:pt>
                <c:pt idx="3">
                  <c:v>11</c:v>
                </c:pt>
                <c:pt idx="4">
                  <c:v>9</c:v>
                </c:pt>
                <c:pt idx="5">
                  <c:v>1</c:v>
                </c:pt>
                <c:pt idx="6">
                  <c:v>5</c:v>
                </c:pt>
                <c:pt idx="7">
                  <c:v>10</c:v>
                </c:pt>
                <c:pt idx="8">
                  <c:v>5</c:v>
                </c:pt>
                <c:pt idx="9">
                  <c:v>8</c:v>
                </c:pt>
                <c:pt idx="10">
                  <c:v>10</c:v>
                </c:pt>
                <c:pt idx="11">
                  <c:v>9</c:v>
                </c:pt>
                <c:pt idx="12">
                  <c:v>7</c:v>
                </c:pt>
                <c:pt idx="13">
                  <c:v>7</c:v>
                </c:pt>
                <c:pt idx="14">
                  <c:v>9</c:v>
                </c:pt>
              </c:numCache>
            </c:numRef>
          </c:val>
          <c:extLst>
            <c:ext xmlns:c16="http://schemas.microsoft.com/office/drawing/2014/chart" uri="{C3380CC4-5D6E-409C-BE32-E72D297353CC}">
              <c16:uniqueId val="{00000000-1B0A-46F1-9795-FA30CFF27F8D}"/>
            </c:ext>
          </c:extLst>
        </c:ser>
        <c:ser>
          <c:idx val="1"/>
          <c:order val="1"/>
          <c:tx>
            <c:strRef>
              <c:f>Dashboard!$I$46</c:f>
              <c:strCache>
                <c:ptCount val="1"/>
              </c:strCache>
            </c:strRef>
          </c:tx>
          <c:spPr>
            <a:solidFill>
              <a:schemeClr val="accent2"/>
            </a:solidFill>
            <a:ln>
              <a:noFill/>
            </a:ln>
            <a:effectLst/>
          </c:spPr>
          <c:invertIfNegative val="0"/>
          <c:cat>
            <c:strRef>
              <c:f>Dashboard!$G$47:$G$61</c:f>
              <c:strCache>
                <c:ptCount val="15"/>
                <c:pt idx="0">
                  <c:v>Rahul Sharma</c:v>
                </c:pt>
                <c:pt idx="1">
                  <c:v>Priya Patel</c:v>
                </c:pt>
                <c:pt idx="2">
                  <c:v>Amit Verma</c:v>
                </c:pt>
                <c:pt idx="3">
                  <c:v>Sneha Gupta</c:v>
                </c:pt>
                <c:pt idx="4">
                  <c:v>Vikram Singh</c:v>
                </c:pt>
                <c:pt idx="5">
                  <c:v>Neha Joshi</c:v>
                </c:pt>
                <c:pt idx="6">
                  <c:v>Arjun Mehta</c:v>
                </c:pt>
                <c:pt idx="7">
                  <c:v>Kavita Rao</c:v>
                </c:pt>
                <c:pt idx="8">
                  <c:v>Deepak Nair</c:v>
                </c:pt>
                <c:pt idx="9">
                  <c:v>Ananya Das</c:v>
                </c:pt>
                <c:pt idx="10">
                  <c:v>Rohan Iyer</c:v>
                </c:pt>
                <c:pt idx="11">
                  <c:v>Pooja Reddy</c:v>
                </c:pt>
                <c:pt idx="12">
                  <c:v>Sanjay Kulkarni</c:v>
                </c:pt>
                <c:pt idx="13">
                  <c:v>Meera Thakur</c:v>
                </c:pt>
                <c:pt idx="14">
                  <c:v>Karan Malhotra</c:v>
                </c:pt>
              </c:strCache>
            </c:strRef>
          </c:cat>
          <c:val>
            <c:numRef>
              <c:f>Dashboard!$I$47:$I$61</c:f>
              <c:numCache>
                <c:formatCode>General</c:formatCode>
                <c:ptCount val="15"/>
              </c:numCache>
            </c:numRef>
          </c:val>
          <c:extLst>
            <c:ext xmlns:c16="http://schemas.microsoft.com/office/drawing/2014/chart" uri="{C3380CC4-5D6E-409C-BE32-E72D297353CC}">
              <c16:uniqueId val="{00000001-1B0A-46F1-9795-FA30CFF27F8D}"/>
            </c:ext>
          </c:extLst>
        </c:ser>
        <c:ser>
          <c:idx val="2"/>
          <c:order val="2"/>
          <c:tx>
            <c:strRef>
              <c:f>Dashboard!$J$46</c:f>
              <c:strCache>
                <c:ptCount val="1"/>
              </c:strCache>
            </c:strRef>
          </c:tx>
          <c:spPr>
            <a:solidFill>
              <a:schemeClr val="accent3"/>
            </a:solidFill>
            <a:ln>
              <a:noFill/>
            </a:ln>
            <a:effectLst/>
          </c:spPr>
          <c:invertIfNegative val="0"/>
          <c:cat>
            <c:strRef>
              <c:f>Dashboard!$G$47:$G$61</c:f>
              <c:strCache>
                <c:ptCount val="15"/>
                <c:pt idx="0">
                  <c:v>Rahul Sharma</c:v>
                </c:pt>
                <c:pt idx="1">
                  <c:v>Priya Patel</c:v>
                </c:pt>
                <c:pt idx="2">
                  <c:v>Amit Verma</c:v>
                </c:pt>
                <c:pt idx="3">
                  <c:v>Sneha Gupta</c:v>
                </c:pt>
                <c:pt idx="4">
                  <c:v>Vikram Singh</c:v>
                </c:pt>
                <c:pt idx="5">
                  <c:v>Neha Joshi</c:v>
                </c:pt>
                <c:pt idx="6">
                  <c:v>Arjun Mehta</c:v>
                </c:pt>
                <c:pt idx="7">
                  <c:v>Kavita Rao</c:v>
                </c:pt>
                <c:pt idx="8">
                  <c:v>Deepak Nair</c:v>
                </c:pt>
                <c:pt idx="9">
                  <c:v>Ananya Das</c:v>
                </c:pt>
                <c:pt idx="10">
                  <c:v>Rohan Iyer</c:v>
                </c:pt>
                <c:pt idx="11">
                  <c:v>Pooja Reddy</c:v>
                </c:pt>
                <c:pt idx="12">
                  <c:v>Sanjay Kulkarni</c:v>
                </c:pt>
                <c:pt idx="13">
                  <c:v>Meera Thakur</c:v>
                </c:pt>
                <c:pt idx="14">
                  <c:v>Karan Malhotra</c:v>
                </c:pt>
              </c:strCache>
            </c:strRef>
          </c:cat>
          <c:val>
            <c:numRef>
              <c:f>Dashboard!$J$47:$J$61</c:f>
              <c:numCache>
                <c:formatCode>General</c:formatCode>
                <c:ptCount val="15"/>
              </c:numCache>
            </c:numRef>
          </c:val>
          <c:extLst>
            <c:ext xmlns:c16="http://schemas.microsoft.com/office/drawing/2014/chart" uri="{C3380CC4-5D6E-409C-BE32-E72D297353CC}">
              <c16:uniqueId val="{00000002-1B0A-46F1-9795-FA30CFF27F8D}"/>
            </c:ext>
          </c:extLst>
        </c:ser>
        <c:dLbls>
          <c:showLegendKey val="0"/>
          <c:showVal val="0"/>
          <c:showCatName val="0"/>
          <c:showSerName val="0"/>
          <c:showPercent val="0"/>
          <c:showBubbleSize val="0"/>
        </c:dLbls>
        <c:gapWidth val="182"/>
        <c:axId val="1119458527"/>
        <c:axId val="1202802831"/>
      </c:barChart>
      <c:catAx>
        <c:axId val="111945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02831"/>
        <c:crosses val="autoZero"/>
        <c:auto val="1"/>
        <c:lblAlgn val="ctr"/>
        <c:lblOffset val="100"/>
        <c:noMultiLvlLbl val="0"/>
      </c:catAx>
      <c:valAx>
        <c:axId val="1202802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58527"/>
        <c:crosses val="autoZero"/>
        <c:crossBetween val="between"/>
      </c:valAx>
      <c:spPr>
        <a:solidFill>
          <a:srgbClr val="F9FAFB"/>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Workload vs Capacity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Dashboard!$H$63</c:f>
              <c:strCache>
                <c:ptCount val="1"/>
                <c:pt idx="0">
                  <c:v>Actual Hrs</c:v>
                </c:pt>
              </c:strCache>
            </c:strRef>
          </c:tx>
          <c:spPr>
            <a:solidFill>
              <a:schemeClr val="accent1"/>
            </a:solidFill>
            <a:ln>
              <a:noFill/>
            </a:ln>
            <a:effectLst/>
          </c:spPr>
          <c:invertIfNegative val="0"/>
          <c:cat>
            <c:strRef>
              <c:f>Dashboard!$G$64:$G$78</c:f>
              <c:strCache>
                <c:ptCount val="15"/>
                <c:pt idx="0">
                  <c:v>Rahul Sharma</c:v>
                </c:pt>
                <c:pt idx="1">
                  <c:v>Priya Patel</c:v>
                </c:pt>
                <c:pt idx="2">
                  <c:v>Amit Verma</c:v>
                </c:pt>
                <c:pt idx="3">
                  <c:v>Sneha Gupta</c:v>
                </c:pt>
                <c:pt idx="4">
                  <c:v>Vikram Singh</c:v>
                </c:pt>
                <c:pt idx="5">
                  <c:v>Neha Joshi</c:v>
                </c:pt>
                <c:pt idx="6">
                  <c:v>Arjun Mehta</c:v>
                </c:pt>
                <c:pt idx="7">
                  <c:v>Kavita Rao</c:v>
                </c:pt>
                <c:pt idx="8">
                  <c:v>Deepak Nair</c:v>
                </c:pt>
                <c:pt idx="9">
                  <c:v>Ananya Das</c:v>
                </c:pt>
                <c:pt idx="10">
                  <c:v>Rohan Iyer</c:v>
                </c:pt>
                <c:pt idx="11">
                  <c:v>Pooja Reddy</c:v>
                </c:pt>
                <c:pt idx="12">
                  <c:v>Sanjay Kulkarni</c:v>
                </c:pt>
                <c:pt idx="13">
                  <c:v>Meera Thakur</c:v>
                </c:pt>
                <c:pt idx="14">
                  <c:v>Karan Malhotra</c:v>
                </c:pt>
              </c:strCache>
            </c:strRef>
          </c:cat>
          <c:val>
            <c:numRef>
              <c:f>Dashboard!$H$64:$H$78</c:f>
              <c:numCache>
                <c:formatCode>General</c:formatCode>
                <c:ptCount val="15"/>
                <c:pt idx="0">
                  <c:v>197.3</c:v>
                </c:pt>
                <c:pt idx="1">
                  <c:v>211.5</c:v>
                </c:pt>
                <c:pt idx="2">
                  <c:v>135.6</c:v>
                </c:pt>
                <c:pt idx="3">
                  <c:v>142.5</c:v>
                </c:pt>
                <c:pt idx="4">
                  <c:v>118.89999999999999</c:v>
                </c:pt>
                <c:pt idx="5">
                  <c:v>67.099999999999994</c:v>
                </c:pt>
                <c:pt idx="6">
                  <c:v>61.4</c:v>
                </c:pt>
                <c:pt idx="7">
                  <c:v>103.89999999999999</c:v>
                </c:pt>
                <c:pt idx="8">
                  <c:v>25.2</c:v>
                </c:pt>
                <c:pt idx="9">
                  <c:v>106.30000000000001</c:v>
                </c:pt>
                <c:pt idx="10">
                  <c:v>114.5</c:v>
                </c:pt>
                <c:pt idx="11">
                  <c:v>107.2</c:v>
                </c:pt>
                <c:pt idx="12">
                  <c:v>74.8</c:v>
                </c:pt>
                <c:pt idx="13">
                  <c:v>6.8</c:v>
                </c:pt>
                <c:pt idx="14">
                  <c:v>152.90000000000003</c:v>
                </c:pt>
              </c:numCache>
            </c:numRef>
          </c:val>
          <c:extLst>
            <c:ext xmlns:c16="http://schemas.microsoft.com/office/drawing/2014/chart" uri="{C3380CC4-5D6E-409C-BE32-E72D297353CC}">
              <c16:uniqueId val="{00000000-DC13-4E03-97B4-E9E3EB521F95}"/>
            </c:ext>
          </c:extLst>
        </c:ser>
        <c:ser>
          <c:idx val="1"/>
          <c:order val="1"/>
          <c:tx>
            <c:strRef>
              <c:f>Dashboard!$I$63</c:f>
              <c:strCache>
                <c:ptCount val="1"/>
              </c:strCache>
            </c:strRef>
          </c:tx>
          <c:spPr>
            <a:solidFill>
              <a:schemeClr val="accent2"/>
            </a:solidFill>
            <a:ln>
              <a:noFill/>
            </a:ln>
            <a:effectLst/>
          </c:spPr>
          <c:invertIfNegative val="0"/>
          <c:cat>
            <c:strRef>
              <c:f>Dashboard!$G$64:$G$78</c:f>
              <c:strCache>
                <c:ptCount val="15"/>
                <c:pt idx="0">
                  <c:v>Rahul Sharma</c:v>
                </c:pt>
                <c:pt idx="1">
                  <c:v>Priya Patel</c:v>
                </c:pt>
                <c:pt idx="2">
                  <c:v>Amit Verma</c:v>
                </c:pt>
                <c:pt idx="3">
                  <c:v>Sneha Gupta</c:v>
                </c:pt>
                <c:pt idx="4">
                  <c:v>Vikram Singh</c:v>
                </c:pt>
                <c:pt idx="5">
                  <c:v>Neha Joshi</c:v>
                </c:pt>
                <c:pt idx="6">
                  <c:v>Arjun Mehta</c:v>
                </c:pt>
                <c:pt idx="7">
                  <c:v>Kavita Rao</c:v>
                </c:pt>
                <c:pt idx="8">
                  <c:v>Deepak Nair</c:v>
                </c:pt>
                <c:pt idx="9">
                  <c:v>Ananya Das</c:v>
                </c:pt>
                <c:pt idx="10">
                  <c:v>Rohan Iyer</c:v>
                </c:pt>
                <c:pt idx="11">
                  <c:v>Pooja Reddy</c:v>
                </c:pt>
                <c:pt idx="12">
                  <c:v>Sanjay Kulkarni</c:v>
                </c:pt>
                <c:pt idx="13">
                  <c:v>Meera Thakur</c:v>
                </c:pt>
                <c:pt idx="14">
                  <c:v>Karan Malhotra</c:v>
                </c:pt>
              </c:strCache>
            </c:strRef>
          </c:cat>
          <c:val>
            <c:numRef>
              <c:f>Dashboard!$I$64:$I$78</c:f>
              <c:numCache>
                <c:formatCode>General</c:formatCode>
                <c:ptCount val="15"/>
              </c:numCache>
            </c:numRef>
          </c:val>
          <c:extLst>
            <c:ext xmlns:c16="http://schemas.microsoft.com/office/drawing/2014/chart" uri="{C3380CC4-5D6E-409C-BE32-E72D297353CC}">
              <c16:uniqueId val="{00000001-DC13-4E03-97B4-E9E3EB521F95}"/>
            </c:ext>
          </c:extLst>
        </c:ser>
        <c:dLbls>
          <c:showLegendKey val="0"/>
          <c:showVal val="0"/>
          <c:showCatName val="0"/>
          <c:showSerName val="0"/>
          <c:showPercent val="0"/>
          <c:showBubbleSize val="0"/>
        </c:dLbls>
        <c:gapWidth val="219"/>
        <c:overlap val="-27"/>
        <c:axId val="1119465023"/>
        <c:axId val="1202811951"/>
      </c:barChart>
      <c:catAx>
        <c:axId val="111946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11951"/>
        <c:crosses val="autoZero"/>
        <c:auto val="1"/>
        <c:lblAlgn val="ctr"/>
        <c:lblOffset val="100"/>
        <c:noMultiLvlLbl val="0"/>
      </c:catAx>
      <c:valAx>
        <c:axId val="120281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65023"/>
        <c:crosses val="autoZero"/>
        <c:crossBetween val="between"/>
      </c:valAx>
      <c:spPr>
        <a:solidFill>
          <a:srgbClr val="F9FAFB"/>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Tasks by Department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strRef>
              <c:f>Dashboard!$H$15</c:f>
              <c:strCache>
                <c:ptCount val="1"/>
                <c:pt idx="0">
                  <c:v>Total</c:v>
                </c:pt>
              </c:strCache>
            </c:strRef>
          </c:tx>
          <c:spPr>
            <a:solidFill>
              <a:schemeClr val="accent1"/>
            </a:solidFill>
            <a:ln>
              <a:noFill/>
            </a:ln>
            <a:effectLst/>
          </c:spPr>
          <c:invertIfNegative val="0"/>
          <c:cat>
            <c:strRef>
              <c:f>Dashboard!$G$16:$G$21</c:f>
              <c:strCache>
                <c:ptCount val="6"/>
                <c:pt idx="0">
                  <c:v>IT</c:v>
                </c:pt>
                <c:pt idx="1">
                  <c:v>Finance</c:v>
                </c:pt>
                <c:pt idx="2">
                  <c:v>Marketing</c:v>
                </c:pt>
                <c:pt idx="3">
                  <c:v>HR</c:v>
                </c:pt>
                <c:pt idx="4">
                  <c:v>Operations</c:v>
                </c:pt>
                <c:pt idx="5">
                  <c:v>Sales</c:v>
                </c:pt>
              </c:strCache>
            </c:strRef>
          </c:cat>
          <c:val>
            <c:numRef>
              <c:f>Dashboard!$H$16:$H$21</c:f>
              <c:numCache>
                <c:formatCode>General</c:formatCode>
                <c:ptCount val="6"/>
                <c:pt idx="0">
                  <c:v>22</c:v>
                </c:pt>
                <c:pt idx="1">
                  <c:v>18</c:v>
                </c:pt>
                <c:pt idx="2">
                  <c:v>15</c:v>
                </c:pt>
                <c:pt idx="3">
                  <c:v>27</c:v>
                </c:pt>
                <c:pt idx="4">
                  <c:v>17</c:v>
                </c:pt>
                <c:pt idx="5">
                  <c:v>21</c:v>
                </c:pt>
              </c:numCache>
            </c:numRef>
          </c:val>
          <c:extLst>
            <c:ext xmlns:c16="http://schemas.microsoft.com/office/drawing/2014/chart" uri="{C3380CC4-5D6E-409C-BE32-E72D297353CC}">
              <c16:uniqueId val="{00000000-BCAA-448E-830E-E32B3F162F07}"/>
            </c:ext>
          </c:extLst>
        </c:ser>
        <c:ser>
          <c:idx val="1"/>
          <c:order val="1"/>
          <c:tx>
            <c:strRef>
              <c:f>Dashboard!$I$15</c:f>
              <c:strCache>
                <c:ptCount val="1"/>
              </c:strCache>
            </c:strRef>
          </c:tx>
          <c:spPr>
            <a:solidFill>
              <a:schemeClr val="accent2"/>
            </a:solidFill>
            <a:ln>
              <a:noFill/>
            </a:ln>
            <a:effectLst/>
          </c:spPr>
          <c:invertIfNegative val="0"/>
          <c:cat>
            <c:strRef>
              <c:f>Dashboard!$G$16:$G$21</c:f>
              <c:strCache>
                <c:ptCount val="6"/>
                <c:pt idx="0">
                  <c:v>IT</c:v>
                </c:pt>
                <c:pt idx="1">
                  <c:v>Finance</c:v>
                </c:pt>
                <c:pt idx="2">
                  <c:v>Marketing</c:v>
                </c:pt>
                <c:pt idx="3">
                  <c:v>HR</c:v>
                </c:pt>
                <c:pt idx="4">
                  <c:v>Operations</c:v>
                </c:pt>
                <c:pt idx="5">
                  <c:v>Sales</c:v>
                </c:pt>
              </c:strCache>
            </c:strRef>
          </c:cat>
          <c:val>
            <c:numRef>
              <c:f>Dashboard!$I$16:$I$21</c:f>
              <c:numCache>
                <c:formatCode>General</c:formatCode>
                <c:ptCount val="6"/>
              </c:numCache>
            </c:numRef>
          </c:val>
          <c:extLst>
            <c:ext xmlns:c16="http://schemas.microsoft.com/office/drawing/2014/chart" uri="{C3380CC4-5D6E-409C-BE32-E72D297353CC}">
              <c16:uniqueId val="{00000001-BCAA-448E-830E-E32B3F162F07}"/>
            </c:ext>
          </c:extLst>
        </c:ser>
        <c:ser>
          <c:idx val="2"/>
          <c:order val="2"/>
          <c:tx>
            <c:strRef>
              <c:f>Dashboard!$J$15</c:f>
              <c:strCache>
                <c:ptCount val="1"/>
              </c:strCache>
            </c:strRef>
          </c:tx>
          <c:spPr>
            <a:solidFill>
              <a:schemeClr val="accent3"/>
            </a:solidFill>
            <a:ln>
              <a:noFill/>
            </a:ln>
            <a:effectLst/>
          </c:spPr>
          <c:invertIfNegative val="0"/>
          <c:cat>
            <c:strRef>
              <c:f>Dashboard!$G$16:$G$21</c:f>
              <c:strCache>
                <c:ptCount val="6"/>
                <c:pt idx="0">
                  <c:v>IT</c:v>
                </c:pt>
                <c:pt idx="1">
                  <c:v>Finance</c:v>
                </c:pt>
                <c:pt idx="2">
                  <c:v>Marketing</c:v>
                </c:pt>
                <c:pt idx="3">
                  <c:v>HR</c:v>
                </c:pt>
                <c:pt idx="4">
                  <c:v>Operations</c:v>
                </c:pt>
                <c:pt idx="5">
                  <c:v>Sales</c:v>
                </c:pt>
              </c:strCache>
            </c:strRef>
          </c:cat>
          <c:val>
            <c:numRef>
              <c:f>Dashboard!$J$16:$J$21</c:f>
              <c:numCache>
                <c:formatCode>General</c:formatCode>
                <c:ptCount val="6"/>
              </c:numCache>
            </c:numRef>
          </c:val>
          <c:extLst>
            <c:ext xmlns:c16="http://schemas.microsoft.com/office/drawing/2014/chart" uri="{C3380CC4-5D6E-409C-BE32-E72D297353CC}">
              <c16:uniqueId val="{00000002-BCAA-448E-830E-E32B3F162F07}"/>
            </c:ext>
          </c:extLst>
        </c:ser>
        <c:dLbls>
          <c:showLegendKey val="0"/>
          <c:showVal val="0"/>
          <c:showCatName val="0"/>
          <c:showSerName val="0"/>
          <c:showPercent val="0"/>
          <c:showBubbleSize val="0"/>
        </c:dLbls>
        <c:gapWidth val="182"/>
        <c:axId val="1208109167"/>
        <c:axId val="1202803791"/>
      </c:barChart>
      <c:catAx>
        <c:axId val="120810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03791"/>
        <c:crosses val="autoZero"/>
        <c:auto val="1"/>
        <c:lblAlgn val="ctr"/>
        <c:lblOffset val="100"/>
        <c:noMultiLvlLbl val="0"/>
      </c:catAx>
      <c:valAx>
        <c:axId val="1202803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09167"/>
        <c:crosses val="autoZero"/>
        <c:crossBetween val="between"/>
      </c:valAx>
      <c:spPr>
        <a:solidFill>
          <a:srgbClr val="F9FAFB"/>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114300</xdr:rowOff>
    </xdr:from>
    <xdr:to>
      <xdr:col>3</xdr:col>
      <xdr:colOff>7620</xdr:colOff>
      <xdr:row>20</xdr:row>
      <xdr:rowOff>160020</xdr:rowOff>
    </xdr:to>
    <xdr:graphicFrame macro="">
      <xdr:nvGraphicFramePr>
        <xdr:cNvPr id="8" name="Chart_StatusDonut">
          <a:extLst>
            <a:ext uri="{FF2B5EF4-FFF2-40B4-BE49-F238E27FC236}">
              <a16:creationId xmlns:a16="http://schemas.microsoft.com/office/drawing/2014/main" id="{0E78FAC4-21DF-741F-9FE4-F9EB33FED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104140</xdr:rowOff>
    </xdr:from>
    <xdr:to>
      <xdr:col>3</xdr:col>
      <xdr:colOff>7620</xdr:colOff>
      <xdr:row>33</xdr:row>
      <xdr:rowOff>73660</xdr:rowOff>
    </xdr:to>
    <xdr:graphicFrame macro="">
      <xdr:nvGraphicFramePr>
        <xdr:cNvPr id="10" name="Chart_PriorityPie">
          <a:extLst>
            <a:ext uri="{FF2B5EF4-FFF2-40B4-BE49-F238E27FC236}">
              <a16:creationId xmlns:a16="http://schemas.microsoft.com/office/drawing/2014/main" id="{54CEA9FA-D16A-F578-B2CB-2246B2A91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134620</xdr:colOff>
      <xdr:row>21</xdr:row>
      <xdr:rowOff>104140</xdr:rowOff>
    </xdr:from>
    <xdr:to>
      <xdr:col>6</xdr:col>
      <xdr:colOff>142240</xdr:colOff>
      <xdr:row>33</xdr:row>
      <xdr:rowOff>73660</xdr:rowOff>
    </xdr:to>
    <xdr:graphicFrame macro="">
      <xdr:nvGraphicFramePr>
        <xdr:cNvPr id="11" name="Chart_MonthlyTrend">
          <a:extLst>
            <a:ext uri="{FF2B5EF4-FFF2-40B4-BE49-F238E27FC236}">
              <a16:creationId xmlns:a16="http://schemas.microsoft.com/office/drawing/2014/main" id="{2727DAED-B54D-6C58-63C5-FB026923D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237067</xdr:colOff>
      <xdr:row>6</xdr:row>
      <xdr:rowOff>102448</xdr:rowOff>
    </xdr:from>
    <xdr:to>
      <xdr:col>8</xdr:col>
      <xdr:colOff>1362287</xdr:colOff>
      <xdr:row>20</xdr:row>
      <xdr:rowOff>156634</xdr:rowOff>
    </xdr:to>
    <xdr:graphicFrame macro="">
      <xdr:nvGraphicFramePr>
        <xdr:cNvPr id="12" name="Chart_EmpPerf">
          <a:extLst>
            <a:ext uri="{FF2B5EF4-FFF2-40B4-BE49-F238E27FC236}">
              <a16:creationId xmlns:a16="http://schemas.microsoft.com/office/drawing/2014/main" id="{7D9090B7-1D0A-D3AC-6B0A-E394D0A33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202355</xdr:colOff>
      <xdr:row>21</xdr:row>
      <xdr:rowOff>85513</xdr:rowOff>
    </xdr:from>
    <xdr:to>
      <xdr:col>8</xdr:col>
      <xdr:colOff>1327575</xdr:colOff>
      <xdr:row>33</xdr:row>
      <xdr:rowOff>71966</xdr:rowOff>
    </xdr:to>
    <xdr:graphicFrame macro="">
      <xdr:nvGraphicFramePr>
        <xdr:cNvPr id="13" name="Chart_WorkloadCap">
          <a:extLst>
            <a:ext uri="{FF2B5EF4-FFF2-40B4-BE49-F238E27FC236}">
              <a16:creationId xmlns:a16="http://schemas.microsoft.com/office/drawing/2014/main" id="{0B0036A9-C441-C613-5B89-84EAA5F35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1320063</xdr:colOff>
      <xdr:row>28</xdr:row>
      <xdr:rowOff>146510</xdr:rowOff>
    </xdr:from>
    <xdr:to>
      <xdr:col>9</xdr:col>
      <xdr:colOff>1389528</xdr:colOff>
      <xdr:row>33</xdr:row>
      <xdr:rowOff>71717</xdr:rowOff>
    </xdr:to>
    <mc:AlternateContent xmlns:mc="http://schemas.openxmlformats.org/markup-compatibility/2006">
      <mc:Choice xmlns:sle15="http://schemas.microsoft.com/office/drawing/2012/slicer" Requires="sle15">
        <xdr:graphicFrame macro="">
          <xdr:nvGraphicFramePr>
            <xdr:cNvPr id="15" name="Task Status">
              <a:extLst>
                <a:ext uri="{FF2B5EF4-FFF2-40B4-BE49-F238E27FC236}">
                  <a16:creationId xmlns:a16="http://schemas.microsoft.com/office/drawing/2014/main" id="{BADFCCBA-62AC-D0FD-6181-716DE99F44D8}"/>
                </a:ext>
              </a:extLst>
            </xdr:cNvPr>
            <xdr:cNvGraphicFramePr/>
          </xdr:nvGraphicFramePr>
          <xdr:xfrm>
            <a:off x="0" y="0"/>
            <a:ext cx="0" cy="0"/>
          </xdr:xfrm>
          <a:graphic>
            <a:graphicData uri="http://schemas.microsoft.com/office/drawing/2010/slicer">
              <sle:slicer xmlns:sle="http://schemas.microsoft.com/office/drawing/2010/slicer" name="Task Status"/>
            </a:graphicData>
          </a:graphic>
        </xdr:graphicFrame>
      </mc:Choice>
      <mc:Fallback>
        <xdr:sp macro="" textlink="">
          <xdr:nvSpPr>
            <xdr:cNvPr id="0" name=""/>
            <xdr:cNvSpPr>
              <a:spLocks noTextEdit="1"/>
            </xdr:cNvSpPr>
          </xdr:nvSpPr>
          <xdr:spPr>
            <a:xfrm>
              <a:off x="12723787" y="7096476"/>
              <a:ext cx="1462086" cy="12915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1303869</xdr:colOff>
      <xdr:row>6</xdr:row>
      <xdr:rowOff>24295</xdr:rowOff>
    </xdr:from>
    <xdr:to>
      <xdr:col>10</xdr:col>
      <xdr:colOff>0</xdr:colOff>
      <xdr:row>11</xdr:row>
      <xdr:rowOff>135467</xdr:rowOff>
    </xdr:to>
    <mc:AlternateContent xmlns:mc="http://schemas.openxmlformats.org/markup-compatibility/2006">
      <mc:Choice xmlns:sle15="http://schemas.microsoft.com/office/drawing/2012/slicer" Requires="sle15">
        <xdr:graphicFrame macro="">
          <xdr:nvGraphicFramePr>
            <xdr:cNvPr id="16" name="Priority">
              <a:extLst>
                <a:ext uri="{FF2B5EF4-FFF2-40B4-BE49-F238E27FC236}">
                  <a16:creationId xmlns:a16="http://schemas.microsoft.com/office/drawing/2014/main" id="{679FCC1A-C6E6-C784-7BF3-D07FA41CCDC4}"/>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2707593" y="2034398"/>
              <a:ext cx="1481373" cy="147751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1320063</xdr:colOff>
      <xdr:row>21</xdr:row>
      <xdr:rowOff>175959</xdr:rowOff>
    </xdr:from>
    <xdr:to>
      <xdr:col>10</xdr:col>
      <xdr:colOff>0</xdr:colOff>
      <xdr:row>28</xdr:row>
      <xdr:rowOff>84667</xdr:rowOff>
    </xdr:to>
    <mc:AlternateContent xmlns:mc="http://schemas.openxmlformats.org/markup-compatibility/2006">
      <mc:Choice xmlns:sle15="http://schemas.microsoft.com/office/drawing/2012/slicer" Requires="sle15">
        <xdr:graphicFrame macro="">
          <xdr:nvGraphicFramePr>
            <xdr:cNvPr id="17" name="Department">
              <a:extLst>
                <a:ext uri="{FF2B5EF4-FFF2-40B4-BE49-F238E27FC236}">
                  <a16:creationId xmlns:a16="http://schemas.microsoft.com/office/drawing/2014/main" id="{61BC85C3-D987-ED74-2D41-9DE3097A7C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723787" y="5391718"/>
              <a:ext cx="1465179" cy="164291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1320062</xdr:colOff>
      <xdr:row>12</xdr:row>
      <xdr:rowOff>1471</xdr:rowOff>
    </xdr:from>
    <xdr:to>
      <xdr:col>10</xdr:col>
      <xdr:colOff>16932</xdr:colOff>
      <xdr:row>21</xdr:row>
      <xdr:rowOff>135466</xdr:rowOff>
    </xdr:to>
    <mc:AlternateContent xmlns:mc="http://schemas.openxmlformats.org/markup-compatibility/2006">
      <mc:Choice xmlns:sle15="http://schemas.microsoft.com/office/drawing/2012/slicer" Requires="sle15">
        <xdr:graphicFrame macro="">
          <xdr:nvGraphicFramePr>
            <xdr:cNvPr id="18" name="Assigned To">
              <a:extLst>
                <a:ext uri="{FF2B5EF4-FFF2-40B4-BE49-F238E27FC236}">
                  <a16:creationId xmlns:a16="http://schemas.microsoft.com/office/drawing/2014/main" id="{2D9A4C4F-F261-C364-BB90-CB2270253E6C}"/>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dr:sp macro="" textlink="">
          <xdr:nvSpPr>
            <xdr:cNvPr id="0" name=""/>
            <xdr:cNvSpPr>
              <a:spLocks noTextEdit="1"/>
            </xdr:cNvSpPr>
          </xdr:nvSpPr>
          <xdr:spPr>
            <a:xfrm>
              <a:off x="12723786" y="3561850"/>
              <a:ext cx="1482112" cy="1789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117687</xdr:colOff>
      <xdr:row>6</xdr:row>
      <xdr:rowOff>97367</xdr:rowOff>
    </xdr:from>
    <xdr:to>
      <xdr:col>6</xdr:col>
      <xdr:colOff>125307</xdr:colOff>
      <xdr:row>20</xdr:row>
      <xdr:rowOff>143087</xdr:rowOff>
    </xdr:to>
    <xdr:graphicFrame macro="">
      <xdr:nvGraphicFramePr>
        <xdr:cNvPr id="21" name="Chart_DeptBar">
          <a:extLst>
            <a:ext uri="{FF2B5EF4-FFF2-40B4-BE49-F238E27FC236}">
              <a16:creationId xmlns:a16="http://schemas.microsoft.com/office/drawing/2014/main" id="{3B89359C-AE3E-98D9-8660-56AE6D810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refreshedDate="46126.018402083333" createdVersion="8" refreshedVersion="8" minRefreshableVersion="3" recordCount="120" xr:uid="{684AAF26-816A-4B43-8703-E8BA2D8A8D1F}">
  <cacheSource type="worksheet">
    <worksheetSource name="tblPivotData"/>
  </cacheSource>
  <cacheFields count="43">
    <cacheField name="Task ID" numFmtId="0">
      <sharedItems/>
    </cacheField>
    <cacheField name="Project Name" numFmtId="0">
      <sharedItems count="10">
        <s v="CRM Migration"/>
        <s v="Product Launch"/>
        <s v="Marketing Campaign"/>
        <s v="Data Analytics Platform"/>
        <s v="Employee Onboarding"/>
        <s v="Mobile App v2"/>
        <s v="Annual Audit"/>
        <s v="Supply Chain Optimization"/>
        <s v="Website Redesign"/>
        <s v="IT Infrastructure"/>
      </sharedItems>
    </cacheField>
    <cacheField name="Department" numFmtId="0">
      <sharedItems count="6">
        <s v="IT"/>
        <s v="Sales"/>
        <s v="HR"/>
        <s v="Finance"/>
        <s v="Operations"/>
        <s v="Marketing"/>
      </sharedItems>
    </cacheField>
    <cacheField name="Assigned To" numFmtId="0">
      <sharedItems/>
    </cacheField>
    <cacheField name="Role" numFmtId="0">
      <sharedItems/>
    </cacheField>
    <cacheField name="Priority" numFmtId="0">
      <sharedItems count="4">
        <s v="High"/>
        <s v="Low"/>
        <s v="Critical"/>
        <s v="Medium"/>
      </sharedItems>
    </cacheField>
    <cacheField name="Task Category" numFmtId="0">
      <sharedItems/>
    </cacheField>
    <cacheField name="Task Status" numFmtId="0">
      <sharedItems count="5">
        <s v="Completed"/>
        <s v="On Hold"/>
        <s v="Not Started"/>
        <s v="In Progress"/>
        <s v="Cancelled"/>
      </sharedItems>
    </cacheField>
    <cacheField name="Start Date" numFmtId="167">
      <sharedItems containsSemiMixedTypes="0" containsNonDate="0" containsDate="1" containsString="0" minDate="2024-01-12T00:00:00" maxDate="2025-02-07T00:00:00"/>
    </cacheField>
    <cacheField name="Due Date" numFmtId="167">
      <sharedItems containsSemiMixedTypes="0" containsNonDate="0" containsDate="1" containsString="0" minDate="2024-02-04T00:00:00" maxDate="2025-04-03T00:00:00"/>
    </cacheField>
    <cacheField name="Completion Date" numFmtId="167">
      <sharedItems containsDate="1" containsMixedTypes="1" minDate="2024-03-24T00:00:00" maxDate="2025-03-22T00:00:00"/>
    </cacheField>
    <cacheField name="Due_Month" numFmtId="0">
      <sharedItems/>
    </cacheField>
    <cacheField name="Start_Month" numFmtId="0">
      <sharedItems/>
    </cacheField>
    <cacheField name="Completion_Month" numFmtId="0">
      <sharedItems/>
    </cacheField>
    <cacheField name="Year" numFmtId="0">
      <sharedItems containsSemiMixedTypes="0" containsString="0" containsNumber="1" containsInteger="1" minValue="2024" maxValue="2025"/>
    </cacheField>
    <cacheField name="Month_Number" numFmtId="0">
      <sharedItems containsSemiMixedTypes="0" containsString="0" containsNumber="1" containsInteger="1" minValue="1" maxValue="12"/>
    </cacheField>
    <cacheField name="Month_Name" numFmtId="0">
      <sharedItems/>
    </cacheField>
    <cacheField name="Progress_Pct" numFmtId="9">
      <sharedItems containsSemiMixedTypes="0" containsString="0" containsNumber="1" minValue="0" maxValue="1"/>
    </cacheField>
    <cacheField name="Estimated Hours" numFmtId="168">
      <sharedItems containsSemiMixedTypes="0" containsString="0" containsNumber="1" minValue="4.3" maxValue="79.599999999999994"/>
    </cacheField>
    <cacheField name="Actual Hours" numFmtId="168">
      <sharedItems containsMixedTypes="1" containsNumber="1" minValue="0" maxValue="79.3"/>
    </cacheField>
    <cacheField name="Variance" numFmtId="168">
      <sharedItems containsSemiMixedTypes="0" containsString="0" containsNumber="1" minValue="-77.599999999999994" maxValue="24.499999999999993"/>
    </cacheField>
    <cacheField name="Days_Open" numFmtId="0">
      <sharedItems containsSemiMixedTypes="0" containsString="0" containsNumber="1" containsInteger="1" minValue="0" maxValue="823"/>
    </cacheField>
    <cacheField name="Delay_Days" numFmtId="0">
      <sharedItems containsSemiMixedTypes="0" containsString="0" containsNumber="1" containsInteger="1" minValue="0" maxValue="800"/>
    </cacheField>
    <cacheField name="Cycle_Time_Days" numFmtId="0">
      <sharedItems containsSemiMixedTypes="0" containsString="0" containsNumber="1" containsInteger="1" minValue="0" maxValue="74"/>
    </cacheField>
    <cacheField name="Lead_Time_Days" numFmtId="0">
      <sharedItems containsSemiMixedTypes="0" containsString="0" containsNumber="1" containsInteger="1" minValue="6" maxValue="823"/>
    </cacheField>
    <cacheField name="Is_Completed" numFmtId="0">
      <sharedItems/>
    </cacheField>
    <cacheField name="Is_Completed_Num" numFmtId="0">
      <sharedItems containsSemiMixedTypes="0" containsString="0" containsNumber="1" containsInteger="1" minValue="0" maxValue="1"/>
    </cacheField>
    <cacheField name="Is_Pending" numFmtId="0">
      <sharedItems/>
    </cacheField>
    <cacheField name="Is_Pending_Num" numFmtId="0">
      <sharedItems containsSemiMixedTypes="0" containsString="0" containsNumber="1" containsInteger="1" minValue="0" maxValue="1"/>
    </cacheField>
    <cacheField name="Is_Delayed" numFmtId="0">
      <sharedItems/>
    </cacheField>
    <cacheField name="Is_Delayed_Num" numFmtId="0">
      <sharedItems containsSemiMixedTypes="0" containsString="0" containsNumber="1" containsInteger="1" minValue="0" maxValue="1"/>
    </cacheField>
    <cacheField name="Overdue_Flag" numFmtId="0">
      <sharedItems/>
    </cacheField>
    <cacheField name="Overdue_Flag_Num" numFmtId="0">
      <sharedItems containsSemiMixedTypes="0" containsString="0" containsNumber="1" containsInteger="1" minValue="0" maxValue="1"/>
    </cacheField>
    <cacheField name="High_Priority_Open_Flag" numFmtId="0">
      <sharedItems/>
    </cacheField>
    <cacheField name="High_Priority_Open_Flag_Num" numFmtId="0">
      <sharedItems containsSemiMixedTypes="0" containsString="0" containsNumber="1" containsInteger="1" minValue="0" maxValue="1"/>
    </cacheField>
    <cacheField name="SLA_Breach_Flag" numFmtId="0">
      <sharedItems/>
    </cacheField>
    <cacheField name="SLA_Breach_Flag_Num" numFmtId="0">
      <sharedItems containsSemiMixedTypes="0" containsString="0" containsNumber="1" containsInteger="1" minValue="0" maxValue="1"/>
    </cacheField>
    <cacheField name="Stale_In_Progress_Flag" numFmtId="0">
      <sharedItems/>
    </cacheField>
    <cacheField name="Stale_In_Progress_Flag_Num" numFmtId="0">
      <sharedItems containsSemiMixedTypes="0" containsString="0" containsNumber="1" containsInteger="1" minValue="0" maxValue="1"/>
    </cacheField>
    <cacheField name="Productivity_Flag" numFmtId="0">
      <sharedItems/>
    </cacheField>
    <cacheField name="Productivity_Flag_Num" numFmtId="0">
      <sharedItems containsSemiMixedTypes="0" containsString="0" containsNumber="1" containsInteger="1" minValue="0" maxValue="1"/>
    </cacheField>
    <cacheField name="On_Time_Flag" numFmtId="0">
      <sharedItems/>
    </cacheField>
    <cacheField name="On_Time_Flag_Num"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TSK-0001"/>
    <x v="0"/>
    <x v="0"/>
    <s v="Pooja Reddy"/>
    <s v="Manager"/>
    <x v="0"/>
    <s v="Research"/>
    <x v="0"/>
    <d v="2024-03-16T00:00:00"/>
    <d v="2024-05-07T00:00:00"/>
    <d v="2024-05-18T00:00:00"/>
    <s v="2024-05"/>
    <s v="2024-03"/>
    <s v="2024-05"/>
    <n v="2024"/>
    <n v="3"/>
    <s v="March"/>
    <n v="1"/>
    <n v="10.6"/>
    <n v="12.5"/>
    <n v="1.9000000000000004"/>
    <n v="0"/>
    <n v="11"/>
    <n v="63"/>
    <n v="63"/>
    <b v="1"/>
    <n v="1"/>
    <b v="0"/>
    <n v="0"/>
    <b v="0"/>
    <n v="0"/>
    <b v="0"/>
    <n v="0"/>
    <b v="0"/>
    <n v="0"/>
    <b v="0"/>
    <n v="0"/>
    <b v="0"/>
    <n v="0"/>
    <s v="Healthy"/>
    <n v="1"/>
    <b v="0"/>
    <n v="0"/>
  </r>
  <r>
    <s v="TSK-0002"/>
    <x v="1"/>
    <x v="1"/>
    <s v="Ananya Das"/>
    <s v="Analyst"/>
    <x v="1"/>
    <s v="Design"/>
    <x v="1"/>
    <d v="2025-01-05T00:00:00"/>
    <d v="2025-02-20T00:00:00"/>
    <s v=""/>
    <s v="2025-02"/>
    <s v="2025-01"/>
    <s v=""/>
    <n v="2025"/>
    <n v="1"/>
    <s v="January"/>
    <n v="0"/>
    <n v="48.8"/>
    <s v=""/>
    <n v="0"/>
    <n v="464"/>
    <n v="418"/>
    <n v="0"/>
    <n v="464"/>
    <b v="0"/>
    <n v="0"/>
    <b v="1"/>
    <n v="1"/>
    <b v="1"/>
    <n v="1"/>
    <b v="1"/>
    <n v="1"/>
    <b v="0"/>
    <n v="0"/>
    <b v="0"/>
    <n v="0"/>
    <b v="0"/>
    <n v="0"/>
    <s v="N/A"/>
    <n v="0"/>
    <s v=""/>
    <n v="0"/>
  </r>
  <r>
    <s v="TSK-0003"/>
    <x v="2"/>
    <x v="2"/>
    <s v="Vikram Singh"/>
    <s v="Developer"/>
    <x v="0"/>
    <s v="Planning"/>
    <x v="1"/>
    <d v="2024-02-26T00:00:00"/>
    <d v="2024-03-07T00:00:00"/>
    <s v=""/>
    <s v="2024-03"/>
    <s v="2024-02"/>
    <s v=""/>
    <n v="2024"/>
    <n v="2"/>
    <s v="February"/>
    <n v="0"/>
    <n v="68.400000000000006"/>
    <s v=""/>
    <n v="0"/>
    <n v="778"/>
    <n v="768"/>
    <n v="0"/>
    <n v="778"/>
    <b v="0"/>
    <n v="0"/>
    <b v="1"/>
    <n v="1"/>
    <b v="1"/>
    <n v="1"/>
    <b v="1"/>
    <n v="1"/>
    <b v="1"/>
    <n v="1"/>
    <b v="1"/>
    <n v="1"/>
    <b v="0"/>
    <n v="0"/>
    <s v="N/A"/>
    <n v="0"/>
    <s v=""/>
    <n v="0"/>
  </r>
  <r>
    <s v="TSK-0004"/>
    <x v="3"/>
    <x v="3"/>
    <s v="Karan Malhotra"/>
    <s v="Tester"/>
    <x v="0"/>
    <s v="Planning"/>
    <x v="2"/>
    <d v="2024-11-21T00:00:00"/>
    <d v="2025-01-04T00:00:00"/>
    <s v=""/>
    <s v="2025-01"/>
    <s v="2024-11"/>
    <s v=""/>
    <n v="2024"/>
    <n v="11"/>
    <s v="November"/>
    <n v="0"/>
    <n v="18.600000000000001"/>
    <s v=""/>
    <n v="0"/>
    <n v="509"/>
    <n v="465"/>
    <n v="0"/>
    <n v="509"/>
    <b v="0"/>
    <n v="0"/>
    <b v="1"/>
    <n v="1"/>
    <b v="1"/>
    <n v="1"/>
    <b v="1"/>
    <n v="1"/>
    <b v="1"/>
    <n v="1"/>
    <b v="1"/>
    <n v="1"/>
    <b v="0"/>
    <n v="0"/>
    <s v="N/A"/>
    <n v="0"/>
    <s v=""/>
    <n v="0"/>
  </r>
  <r>
    <s v="TSK-0005"/>
    <x v="4"/>
    <x v="0"/>
    <s v="Meera Thakur"/>
    <s v="Manager"/>
    <x v="2"/>
    <s v="Testing"/>
    <x v="1"/>
    <d v="2024-07-17T00:00:00"/>
    <d v="2024-08-08T00:00:00"/>
    <s v=""/>
    <s v="2024-08"/>
    <s v="2024-07"/>
    <s v=""/>
    <n v="2024"/>
    <n v="7"/>
    <s v="July"/>
    <n v="0.28000000000000003"/>
    <n v="32.1"/>
    <s v=""/>
    <n v="0"/>
    <n v="636"/>
    <n v="614"/>
    <n v="0"/>
    <n v="636"/>
    <b v="0"/>
    <n v="0"/>
    <b v="1"/>
    <n v="1"/>
    <b v="1"/>
    <n v="1"/>
    <b v="1"/>
    <n v="1"/>
    <b v="1"/>
    <n v="1"/>
    <b v="1"/>
    <n v="1"/>
    <b v="0"/>
    <n v="0"/>
    <s v="N/A"/>
    <n v="0"/>
    <s v=""/>
    <n v="0"/>
  </r>
  <r>
    <s v="TSK-0006"/>
    <x v="0"/>
    <x v="3"/>
    <s v="Deepak Nair"/>
    <s v="Manager"/>
    <x v="0"/>
    <s v="Documentation"/>
    <x v="3"/>
    <d v="2024-07-17T00:00:00"/>
    <d v="2024-08-08T00:00:00"/>
    <s v=""/>
    <s v="2024-08"/>
    <s v="2024-07"/>
    <s v=""/>
    <n v="2024"/>
    <n v="7"/>
    <s v="July"/>
    <n v="0.73"/>
    <n v="66.5"/>
    <n v="25.2"/>
    <n v="-41.3"/>
    <n v="636"/>
    <n v="614"/>
    <n v="0"/>
    <n v="636"/>
    <b v="0"/>
    <n v="0"/>
    <b v="1"/>
    <n v="1"/>
    <b v="1"/>
    <n v="1"/>
    <b v="1"/>
    <n v="1"/>
    <b v="1"/>
    <n v="1"/>
    <b v="1"/>
    <n v="1"/>
    <b v="1"/>
    <n v="1"/>
    <s v="On Track"/>
    <n v="1"/>
    <s v=""/>
    <n v="0"/>
  </r>
  <r>
    <s v="TSK-0007"/>
    <x v="5"/>
    <x v="2"/>
    <s v="Sneha Gupta"/>
    <s v="Lead"/>
    <x v="3"/>
    <s v="Documentation"/>
    <x v="3"/>
    <d v="2024-03-18T00:00:00"/>
    <d v="2024-04-08T00:00:00"/>
    <s v=""/>
    <s v="2024-04"/>
    <s v="2024-03"/>
    <s v=""/>
    <n v="2024"/>
    <n v="3"/>
    <s v="March"/>
    <n v="0.65"/>
    <n v="60.8"/>
    <n v="32.799999999999997"/>
    <n v="-28"/>
    <n v="757"/>
    <n v="736"/>
    <n v="0"/>
    <n v="757"/>
    <b v="0"/>
    <n v="0"/>
    <b v="1"/>
    <n v="1"/>
    <b v="1"/>
    <n v="1"/>
    <b v="1"/>
    <n v="1"/>
    <b v="0"/>
    <n v="0"/>
    <b v="0"/>
    <n v="0"/>
    <b v="1"/>
    <n v="1"/>
    <s v="On Track"/>
    <n v="1"/>
    <s v=""/>
    <n v="0"/>
  </r>
  <r>
    <s v="TSK-0008"/>
    <x v="6"/>
    <x v="1"/>
    <s v="Kavita Rao"/>
    <s v="Analyst"/>
    <x v="2"/>
    <s v="Development"/>
    <x v="3"/>
    <d v="2024-03-01T00:00:00"/>
    <d v="2024-03-15T00:00:00"/>
    <s v=""/>
    <s v="2024-03"/>
    <s v="2024-03"/>
    <s v=""/>
    <n v="2024"/>
    <n v="3"/>
    <s v="March"/>
    <n v="0"/>
    <n v="33"/>
    <n v="16.7"/>
    <n v="-16.3"/>
    <n v="774"/>
    <n v="760"/>
    <n v="0"/>
    <n v="774"/>
    <b v="0"/>
    <n v="0"/>
    <b v="1"/>
    <n v="1"/>
    <b v="1"/>
    <n v="1"/>
    <b v="1"/>
    <n v="1"/>
    <b v="1"/>
    <n v="1"/>
    <b v="1"/>
    <n v="1"/>
    <b v="1"/>
    <n v="1"/>
    <s v="N/A"/>
    <n v="0"/>
    <s v=""/>
    <n v="0"/>
  </r>
  <r>
    <s v="TSK-0009"/>
    <x v="0"/>
    <x v="2"/>
    <s v="Sanjay Kulkarni"/>
    <s v="Designer"/>
    <x v="0"/>
    <s v="Planning"/>
    <x v="1"/>
    <d v="2024-08-14T00:00:00"/>
    <d v="2024-08-29T00:00:00"/>
    <s v=""/>
    <s v="2024-08"/>
    <s v="2024-08"/>
    <s v=""/>
    <n v="2024"/>
    <n v="8"/>
    <s v="August"/>
    <n v="0"/>
    <n v="70.599999999999994"/>
    <n v="0"/>
    <n v="-70.599999999999994"/>
    <n v="608"/>
    <n v="593"/>
    <n v="0"/>
    <n v="608"/>
    <b v="0"/>
    <n v="0"/>
    <b v="1"/>
    <n v="1"/>
    <b v="1"/>
    <n v="1"/>
    <b v="1"/>
    <n v="1"/>
    <b v="1"/>
    <n v="1"/>
    <b v="1"/>
    <n v="1"/>
    <b v="0"/>
    <n v="0"/>
    <s v="N/A"/>
    <n v="0"/>
    <s v=""/>
    <n v="0"/>
  </r>
  <r>
    <s v="TSK-0010"/>
    <x v="7"/>
    <x v="3"/>
    <s v="Meera Thakur"/>
    <s v="Designer"/>
    <x v="2"/>
    <s v="Deployment"/>
    <x v="3"/>
    <d v="2024-11-11T00:00:00"/>
    <d v="2024-11-28T00:00:00"/>
    <s v=""/>
    <s v="2024-11"/>
    <s v="2024-11"/>
    <s v=""/>
    <n v="2024"/>
    <n v="11"/>
    <s v="November"/>
    <n v="0.56999999999999995"/>
    <n v="49.5"/>
    <n v="6.8"/>
    <n v="-42.7"/>
    <n v="519"/>
    <n v="502"/>
    <n v="0"/>
    <n v="519"/>
    <b v="0"/>
    <n v="0"/>
    <b v="1"/>
    <n v="1"/>
    <b v="1"/>
    <n v="1"/>
    <b v="1"/>
    <n v="1"/>
    <b v="1"/>
    <n v="1"/>
    <b v="1"/>
    <n v="1"/>
    <b v="1"/>
    <n v="1"/>
    <s v="On Track"/>
    <n v="1"/>
    <s v=""/>
    <n v="0"/>
  </r>
  <r>
    <s v="TSK-0011"/>
    <x v="1"/>
    <x v="0"/>
    <s v="Sneha Gupta"/>
    <s v="Analyst"/>
    <x v="0"/>
    <s v="Deployment"/>
    <x v="3"/>
    <d v="2024-02-09T00:00:00"/>
    <d v="2024-04-02T00:00:00"/>
    <s v=""/>
    <s v="2024-04"/>
    <s v="2024-02"/>
    <s v=""/>
    <n v="2024"/>
    <n v="2"/>
    <s v="February"/>
    <n v="0.62"/>
    <n v="24.1"/>
    <n v="10.3"/>
    <n v="-13.8"/>
    <n v="795"/>
    <n v="742"/>
    <n v="0"/>
    <n v="795"/>
    <b v="0"/>
    <n v="0"/>
    <b v="1"/>
    <n v="1"/>
    <b v="1"/>
    <n v="1"/>
    <b v="1"/>
    <n v="1"/>
    <b v="1"/>
    <n v="1"/>
    <b v="1"/>
    <n v="1"/>
    <b v="1"/>
    <n v="1"/>
    <s v="On Track"/>
    <n v="1"/>
    <s v=""/>
    <n v="0"/>
  </r>
  <r>
    <s v="TSK-0012"/>
    <x v="1"/>
    <x v="2"/>
    <s v="Arjun Mehta"/>
    <s v="Tester"/>
    <x v="3"/>
    <s v="Deployment"/>
    <x v="3"/>
    <d v="2024-08-23T00:00:00"/>
    <d v="2024-09-04T00:00:00"/>
    <s v=""/>
    <s v="2024-09"/>
    <s v="2024-08"/>
    <s v=""/>
    <n v="2024"/>
    <n v="8"/>
    <s v="August"/>
    <n v="0.38"/>
    <n v="48.7"/>
    <s v=""/>
    <n v="0"/>
    <n v="599"/>
    <n v="587"/>
    <n v="0"/>
    <n v="599"/>
    <b v="0"/>
    <n v="0"/>
    <b v="1"/>
    <n v="1"/>
    <b v="1"/>
    <n v="1"/>
    <b v="1"/>
    <n v="1"/>
    <b v="0"/>
    <n v="0"/>
    <b v="0"/>
    <n v="0"/>
    <b v="1"/>
    <n v="1"/>
    <s v="Slow"/>
    <n v="0"/>
    <s v=""/>
    <n v="0"/>
  </r>
  <r>
    <s v="TSK-0013"/>
    <x v="0"/>
    <x v="0"/>
    <s v="Sneha Gupta"/>
    <s v="Analyst"/>
    <x v="2"/>
    <s v="Development"/>
    <x v="4"/>
    <d v="2024-06-22T00:00:00"/>
    <d v="2024-07-01T00:00:00"/>
    <s v=""/>
    <s v="2024-07"/>
    <s v="2024-06"/>
    <s v=""/>
    <n v="2024"/>
    <n v="6"/>
    <s v="June"/>
    <n v="0"/>
    <n v="25.2"/>
    <n v="0"/>
    <n v="-25.2"/>
    <n v="0"/>
    <n v="0"/>
    <n v="0"/>
    <n v="661"/>
    <b v="0"/>
    <n v="0"/>
    <b v="0"/>
    <n v="0"/>
    <b v="0"/>
    <n v="0"/>
    <b v="0"/>
    <n v="0"/>
    <b v="0"/>
    <n v="0"/>
    <b v="0"/>
    <n v="0"/>
    <b v="0"/>
    <n v="0"/>
    <s v="N/A"/>
    <n v="0"/>
    <s v=""/>
    <n v="0"/>
  </r>
  <r>
    <s v="TSK-0014"/>
    <x v="6"/>
    <x v="1"/>
    <s v="Sneha Gupta"/>
    <s v="Lead"/>
    <x v="2"/>
    <s v="Documentation"/>
    <x v="0"/>
    <d v="2024-04-11T00:00:00"/>
    <d v="2024-04-22T00:00:00"/>
    <d v="2024-05-03T00:00:00"/>
    <s v="2024-04"/>
    <s v="2024-04"/>
    <s v="2024-05"/>
    <n v="2024"/>
    <n v="4"/>
    <s v="April"/>
    <n v="1"/>
    <n v="30.9"/>
    <n v="32.299999999999997"/>
    <n v="1.3999999999999986"/>
    <n v="0"/>
    <n v="11"/>
    <n v="22"/>
    <n v="22"/>
    <b v="1"/>
    <n v="1"/>
    <b v="0"/>
    <n v="0"/>
    <b v="0"/>
    <n v="0"/>
    <b v="0"/>
    <n v="0"/>
    <b v="0"/>
    <n v="0"/>
    <b v="0"/>
    <n v="0"/>
    <b v="0"/>
    <n v="0"/>
    <s v="Healthy"/>
    <n v="1"/>
    <b v="0"/>
    <n v="0"/>
  </r>
  <r>
    <s v="TSK-0015"/>
    <x v="8"/>
    <x v="4"/>
    <s v="Pooja Reddy"/>
    <s v="Designer"/>
    <x v="2"/>
    <s v="Testing"/>
    <x v="3"/>
    <d v="2024-05-11T00:00:00"/>
    <d v="2024-05-28T00:00:00"/>
    <s v=""/>
    <s v="2024-05"/>
    <s v="2024-05"/>
    <s v=""/>
    <n v="2024"/>
    <n v="5"/>
    <s v="May"/>
    <n v="0"/>
    <n v="17.899999999999999"/>
    <n v="14.3"/>
    <n v="-3.5999999999999979"/>
    <n v="703"/>
    <n v="686"/>
    <n v="0"/>
    <n v="703"/>
    <b v="0"/>
    <n v="0"/>
    <b v="1"/>
    <n v="1"/>
    <b v="1"/>
    <n v="1"/>
    <b v="1"/>
    <n v="1"/>
    <b v="1"/>
    <n v="1"/>
    <b v="1"/>
    <n v="1"/>
    <b v="1"/>
    <n v="1"/>
    <s v="N/A"/>
    <n v="0"/>
    <s v=""/>
    <n v="0"/>
  </r>
  <r>
    <s v="TSK-0016"/>
    <x v="7"/>
    <x v="3"/>
    <s v="Rahul Sharma"/>
    <s v="Analyst"/>
    <x v="0"/>
    <s v="Research"/>
    <x v="4"/>
    <d v="2024-03-30T00:00:00"/>
    <d v="2024-04-30T00:00:00"/>
    <s v=""/>
    <s v="2024-04"/>
    <s v="2024-03"/>
    <s v=""/>
    <n v="2024"/>
    <n v="3"/>
    <s v="March"/>
    <n v="0"/>
    <n v="20.2"/>
    <n v="0"/>
    <n v="-20.2"/>
    <n v="0"/>
    <n v="0"/>
    <n v="0"/>
    <n v="745"/>
    <b v="0"/>
    <n v="0"/>
    <b v="0"/>
    <n v="0"/>
    <b v="0"/>
    <n v="0"/>
    <b v="0"/>
    <n v="0"/>
    <b v="0"/>
    <n v="0"/>
    <b v="0"/>
    <n v="0"/>
    <b v="0"/>
    <n v="0"/>
    <s v="N/A"/>
    <n v="0"/>
    <s v=""/>
    <n v="0"/>
  </r>
  <r>
    <s v="TSK-0017"/>
    <x v="2"/>
    <x v="0"/>
    <s v="Arjun Mehta"/>
    <s v="Manager"/>
    <x v="2"/>
    <s v="Documentation"/>
    <x v="4"/>
    <d v="2024-05-30T00:00:00"/>
    <d v="2024-07-01T00:00:00"/>
    <s v=""/>
    <s v="2024-07"/>
    <s v="2024-05"/>
    <s v=""/>
    <n v="2024"/>
    <n v="5"/>
    <s v="May"/>
    <n v="0"/>
    <n v="18.399999999999999"/>
    <s v=""/>
    <n v="0"/>
    <n v="0"/>
    <n v="0"/>
    <n v="0"/>
    <n v="684"/>
    <b v="0"/>
    <n v="0"/>
    <b v="0"/>
    <n v="0"/>
    <b v="0"/>
    <n v="0"/>
    <b v="0"/>
    <n v="0"/>
    <b v="0"/>
    <n v="0"/>
    <b v="0"/>
    <n v="0"/>
    <b v="0"/>
    <n v="0"/>
    <s v="N/A"/>
    <n v="0"/>
    <s v=""/>
    <n v="0"/>
  </r>
  <r>
    <s v="TSK-0018"/>
    <x v="7"/>
    <x v="0"/>
    <s v="Pooja Reddy"/>
    <s v="Designer"/>
    <x v="0"/>
    <s v="Development"/>
    <x v="4"/>
    <d v="2024-10-30T00:00:00"/>
    <d v="2024-12-04T00:00:00"/>
    <s v=""/>
    <s v="2024-12"/>
    <s v="2024-10"/>
    <s v=""/>
    <n v="2024"/>
    <n v="10"/>
    <s v="October"/>
    <n v="0"/>
    <n v="16"/>
    <s v=""/>
    <n v="0"/>
    <n v="0"/>
    <n v="0"/>
    <n v="0"/>
    <n v="531"/>
    <b v="0"/>
    <n v="0"/>
    <b v="0"/>
    <n v="0"/>
    <b v="0"/>
    <n v="0"/>
    <b v="0"/>
    <n v="0"/>
    <b v="0"/>
    <n v="0"/>
    <b v="0"/>
    <n v="0"/>
    <b v="0"/>
    <n v="0"/>
    <s v="N/A"/>
    <n v="0"/>
    <s v=""/>
    <n v="0"/>
  </r>
  <r>
    <s v="TSK-0019"/>
    <x v="0"/>
    <x v="0"/>
    <s v="Rohan Iyer"/>
    <s v="Manager"/>
    <x v="3"/>
    <s v="Testing"/>
    <x v="0"/>
    <d v="2024-10-22T00:00:00"/>
    <d v="2024-11-11T00:00:00"/>
    <d v="2024-11-20T00:00:00"/>
    <s v="2024-11"/>
    <s v="2024-10"/>
    <s v="2024-11"/>
    <n v="2024"/>
    <n v="10"/>
    <s v="October"/>
    <n v="1"/>
    <n v="35.9"/>
    <n v="44.2"/>
    <n v="8.3000000000000043"/>
    <n v="0"/>
    <n v="9"/>
    <n v="29"/>
    <n v="29"/>
    <b v="1"/>
    <n v="1"/>
    <b v="0"/>
    <n v="0"/>
    <b v="0"/>
    <n v="0"/>
    <b v="0"/>
    <n v="0"/>
    <b v="0"/>
    <n v="0"/>
    <b v="0"/>
    <n v="0"/>
    <b v="0"/>
    <n v="0"/>
    <s v="Over Budget"/>
    <n v="0"/>
    <b v="0"/>
    <n v="0"/>
  </r>
  <r>
    <s v="TSK-0020"/>
    <x v="1"/>
    <x v="2"/>
    <s v="Sneha Gupta"/>
    <s v="Manager"/>
    <x v="3"/>
    <s v="Testing"/>
    <x v="2"/>
    <d v="2024-12-13T00:00:00"/>
    <d v="2025-01-28T00:00:00"/>
    <s v=""/>
    <s v="2025-01"/>
    <s v="2024-12"/>
    <s v=""/>
    <n v="2024"/>
    <n v="12"/>
    <s v="December"/>
    <n v="0"/>
    <n v="28"/>
    <s v=""/>
    <n v="0"/>
    <n v="487"/>
    <n v="441"/>
    <n v="0"/>
    <n v="487"/>
    <b v="0"/>
    <n v="0"/>
    <b v="1"/>
    <n v="1"/>
    <b v="1"/>
    <n v="1"/>
    <b v="1"/>
    <n v="1"/>
    <b v="0"/>
    <n v="0"/>
    <b v="0"/>
    <n v="0"/>
    <b v="0"/>
    <n v="0"/>
    <s v="N/A"/>
    <n v="0"/>
    <s v=""/>
    <n v="0"/>
  </r>
  <r>
    <s v="TSK-0021"/>
    <x v="5"/>
    <x v="3"/>
    <s v="Priya Patel"/>
    <s v="Manager"/>
    <x v="1"/>
    <s v="Research"/>
    <x v="0"/>
    <d v="2024-03-12T00:00:00"/>
    <d v="2024-04-08T00:00:00"/>
    <d v="2024-04-05T00:00:00"/>
    <s v="2024-04"/>
    <s v="2024-03"/>
    <s v="2024-04"/>
    <n v="2024"/>
    <n v="3"/>
    <s v="March"/>
    <n v="1"/>
    <n v="25.7"/>
    <n v="28.2"/>
    <n v="2.5"/>
    <n v="0"/>
    <n v="0"/>
    <n v="24"/>
    <n v="24"/>
    <b v="1"/>
    <n v="1"/>
    <b v="0"/>
    <n v="0"/>
    <b v="0"/>
    <n v="0"/>
    <b v="0"/>
    <n v="0"/>
    <b v="0"/>
    <n v="0"/>
    <b v="0"/>
    <n v="0"/>
    <b v="0"/>
    <n v="0"/>
    <s v="Healthy"/>
    <n v="1"/>
    <b v="1"/>
    <n v="1"/>
  </r>
  <r>
    <s v="TSK-0022"/>
    <x v="7"/>
    <x v="0"/>
    <s v="Rohan Iyer"/>
    <s v="Designer"/>
    <x v="2"/>
    <s v="Testing"/>
    <x v="0"/>
    <d v="2024-03-13T00:00:00"/>
    <d v="2024-04-03T00:00:00"/>
    <d v="2024-03-27T00:00:00"/>
    <s v="2024-04"/>
    <s v="2024-03"/>
    <s v="2024-03"/>
    <n v="2024"/>
    <n v="3"/>
    <s v="March"/>
    <n v="1"/>
    <n v="15.8"/>
    <n v="12.1"/>
    <n v="-3.7000000000000011"/>
    <n v="0"/>
    <n v="0"/>
    <n v="14"/>
    <n v="14"/>
    <b v="1"/>
    <n v="1"/>
    <b v="0"/>
    <n v="0"/>
    <b v="0"/>
    <n v="0"/>
    <b v="0"/>
    <n v="0"/>
    <b v="0"/>
    <n v="0"/>
    <b v="0"/>
    <n v="0"/>
    <b v="0"/>
    <n v="0"/>
    <s v="Healthy"/>
    <n v="1"/>
    <b v="1"/>
    <n v="1"/>
  </r>
  <r>
    <s v="TSK-0023"/>
    <x v="4"/>
    <x v="1"/>
    <s v="Kavita Rao"/>
    <s v="Manager"/>
    <x v="2"/>
    <s v="Development"/>
    <x v="1"/>
    <d v="2024-02-21T00:00:00"/>
    <d v="2024-04-06T00:00:00"/>
    <s v=""/>
    <s v="2024-04"/>
    <s v="2024-02"/>
    <s v=""/>
    <n v="2024"/>
    <n v="2"/>
    <s v="February"/>
    <n v="0.22"/>
    <n v="4.3"/>
    <s v=""/>
    <n v="0"/>
    <n v="783"/>
    <n v="738"/>
    <n v="0"/>
    <n v="783"/>
    <b v="0"/>
    <n v="0"/>
    <b v="1"/>
    <n v="1"/>
    <b v="1"/>
    <n v="1"/>
    <b v="1"/>
    <n v="1"/>
    <b v="1"/>
    <n v="1"/>
    <b v="1"/>
    <n v="1"/>
    <b v="0"/>
    <n v="0"/>
    <s v="N/A"/>
    <n v="0"/>
    <s v=""/>
    <n v="0"/>
  </r>
  <r>
    <s v="TSK-0024"/>
    <x v="6"/>
    <x v="1"/>
    <s v="Deepak Nair"/>
    <s v="Coordinator"/>
    <x v="1"/>
    <s v="Development"/>
    <x v="3"/>
    <d v="2024-03-02T00:00:00"/>
    <d v="2024-03-11T00:00:00"/>
    <s v=""/>
    <s v="2024-03"/>
    <s v="2024-03"/>
    <s v=""/>
    <n v="2024"/>
    <n v="3"/>
    <s v="March"/>
    <n v="0.22"/>
    <n v="36.700000000000003"/>
    <s v=""/>
    <n v="0"/>
    <n v="773"/>
    <n v="764"/>
    <n v="0"/>
    <n v="773"/>
    <b v="0"/>
    <n v="0"/>
    <b v="1"/>
    <n v="1"/>
    <b v="1"/>
    <n v="1"/>
    <b v="1"/>
    <n v="1"/>
    <b v="0"/>
    <n v="0"/>
    <b v="0"/>
    <n v="0"/>
    <b v="1"/>
    <n v="1"/>
    <s v="Slow"/>
    <n v="0"/>
    <s v=""/>
    <n v="0"/>
  </r>
  <r>
    <s v="TSK-0025"/>
    <x v="9"/>
    <x v="5"/>
    <s v="Rohan Iyer"/>
    <s v="Manager"/>
    <x v="1"/>
    <s v="Testing"/>
    <x v="1"/>
    <d v="2024-07-04T00:00:00"/>
    <d v="2024-08-27T00:00:00"/>
    <s v=""/>
    <s v="2024-08"/>
    <s v="2024-07"/>
    <s v=""/>
    <n v="2024"/>
    <n v="7"/>
    <s v="July"/>
    <n v="0.14000000000000001"/>
    <n v="69.7"/>
    <s v=""/>
    <n v="0"/>
    <n v="649"/>
    <n v="595"/>
    <n v="0"/>
    <n v="649"/>
    <b v="0"/>
    <n v="0"/>
    <b v="1"/>
    <n v="1"/>
    <b v="1"/>
    <n v="1"/>
    <b v="1"/>
    <n v="1"/>
    <b v="0"/>
    <n v="0"/>
    <b v="0"/>
    <n v="0"/>
    <b v="0"/>
    <n v="0"/>
    <s v="N/A"/>
    <n v="0"/>
    <s v=""/>
    <n v="0"/>
  </r>
  <r>
    <s v="TSK-0026"/>
    <x v="6"/>
    <x v="2"/>
    <s v="Sanjay Kulkarni"/>
    <s v="Coordinator"/>
    <x v="2"/>
    <s v="Research"/>
    <x v="0"/>
    <d v="2024-05-20T00:00:00"/>
    <d v="2024-06-04T00:00:00"/>
    <d v="2024-06-06T00:00:00"/>
    <s v="2024-06"/>
    <s v="2024-05"/>
    <s v="2024-06"/>
    <n v="2024"/>
    <n v="5"/>
    <s v="May"/>
    <n v="1"/>
    <n v="69.3"/>
    <n v="63.2"/>
    <n v="-6.0999999999999943"/>
    <n v="0"/>
    <n v="2"/>
    <n v="17"/>
    <n v="17"/>
    <b v="1"/>
    <n v="1"/>
    <b v="0"/>
    <n v="0"/>
    <b v="0"/>
    <n v="0"/>
    <b v="0"/>
    <n v="0"/>
    <b v="0"/>
    <n v="0"/>
    <b v="0"/>
    <n v="0"/>
    <b v="0"/>
    <n v="0"/>
    <s v="Healthy"/>
    <n v="1"/>
    <b v="0"/>
    <n v="0"/>
  </r>
  <r>
    <s v="TSK-0027"/>
    <x v="1"/>
    <x v="5"/>
    <s v="Rahul Sharma"/>
    <s v="Manager"/>
    <x v="3"/>
    <s v="Planning"/>
    <x v="0"/>
    <d v="2024-05-26T00:00:00"/>
    <d v="2024-07-25T00:00:00"/>
    <d v="2024-08-08T00:00:00"/>
    <s v="2024-07"/>
    <s v="2024-05"/>
    <s v="2024-08"/>
    <n v="2024"/>
    <n v="5"/>
    <s v="May"/>
    <n v="1"/>
    <n v="30.7"/>
    <n v="36.1"/>
    <n v="5.4000000000000021"/>
    <n v="0"/>
    <n v="14"/>
    <n v="74"/>
    <n v="74"/>
    <b v="1"/>
    <n v="1"/>
    <b v="0"/>
    <n v="0"/>
    <b v="0"/>
    <n v="0"/>
    <b v="0"/>
    <n v="0"/>
    <b v="0"/>
    <n v="0"/>
    <b v="0"/>
    <n v="0"/>
    <b v="0"/>
    <n v="0"/>
    <s v="Healthy"/>
    <n v="1"/>
    <b v="0"/>
    <n v="0"/>
  </r>
  <r>
    <s v="TSK-0028"/>
    <x v="8"/>
    <x v="3"/>
    <s v="Karan Malhotra"/>
    <s v="Manager"/>
    <x v="0"/>
    <s v="Research"/>
    <x v="1"/>
    <d v="2024-01-24T00:00:00"/>
    <d v="2024-02-04T00:00:00"/>
    <s v=""/>
    <s v="2024-02"/>
    <s v="2024-01"/>
    <s v=""/>
    <n v="2024"/>
    <n v="1"/>
    <s v="January"/>
    <n v="0"/>
    <n v="63.8"/>
    <n v="0"/>
    <n v="-63.8"/>
    <n v="811"/>
    <n v="800"/>
    <n v="0"/>
    <n v="811"/>
    <b v="0"/>
    <n v="0"/>
    <b v="1"/>
    <n v="1"/>
    <b v="1"/>
    <n v="1"/>
    <b v="1"/>
    <n v="1"/>
    <b v="1"/>
    <n v="1"/>
    <b v="1"/>
    <n v="1"/>
    <b v="0"/>
    <n v="0"/>
    <s v="N/A"/>
    <n v="0"/>
    <s v=""/>
    <n v="0"/>
  </r>
  <r>
    <s v="TSK-0029"/>
    <x v="0"/>
    <x v="4"/>
    <s v="Karan Malhotra"/>
    <s v="Manager"/>
    <x v="3"/>
    <s v="Development"/>
    <x v="0"/>
    <d v="2025-01-01T00:00:00"/>
    <d v="2025-02-02T00:00:00"/>
    <d v="2025-02-08T00:00:00"/>
    <s v="2025-02"/>
    <s v="2025-01"/>
    <s v="2025-02"/>
    <n v="2025"/>
    <n v="1"/>
    <s v="January"/>
    <n v="1"/>
    <n v="56.2"/>
    <n v="78.8"/>
    <n v="22.599999999999994"/>
    <n v="0"/>
    <n v="6"/>
    <n v="38"/>
    <n v="38"/>
    <b v="1"/>
    <n v="1"/>
    <b v="0"/>
    <n v="0"/>
    <b v="0"/>
    <n v="0"/>
    <b v="0"/>
    <n v="0"/>
    <b v="0"/>
    <n v="0"/>
    <b v="0"/>
    <n v="0"/>
    <b v="0"/>
    <n v="0"/>
    <s v="Over Budget"/>
    <n v="0"/>
    <b v="0"/>
    <n v="0"/>
  </r>
  <r>
    <s v="TSK-0030"/>
    <x v="2"/>
    <x v="0"/>
    <s v="Rohan Iyer"/>
    <s v="Designer"/>
    <x v="1"/>
    <s v="Planning"/>
    <x v="0"/>
    <d v="2024-12-09T00:00:00"/>
    <d v="2025-02-06T00:00:00"/>
    <d v="2025-02-19T00:00:00"/>
    <s v="2025-02"/>
    <s v="2024-12"/>
    <s v="2025-02"/>
    <n v="2024"/>
    <n v="12"/>
    <s v="December"/>
    <n v="1"/>
    <n v="42.5"/>
    <n v="54.2"/>
    <n v="11.700000000000003"/>
    <n v="0"/>
    <n v="13"/>
    <n v="72"/>
    <n v="72"/>
    <b v="1"/>
    <n v="1"/>
    <b v="0"/>
    <n v="0"/>
    <b v="0"/>
    <n v="0"/>
    <b v="0"/>
    <n v="0"/>
    <b v="0"/>
    <n v="0"/>
    <b v="0"/>
    <n v="0"/>
    <b v="0"/>
    <n v="0"/>
    <s v="Over Budget"/>
    <n v="0"/>
    <b v="0"/>
    <n v="0"/>
  </r>
  <r>
    <s v="TSK-0031"/>
    <x v="7"/>
    <x v="3"/>
    <s v="Sneha Gupta"/>
    <s v="Coordinator"/>
    <x v="1"/>
    <s v="Review"/>
    <x v="3"/>
    <d v="2024-12-16T00:00:00"/>
    <d v="2025-02-06T00:00:00"/>
    <s v=""/>
    <s v="2025-02"/>
    <s v="2024-12"/>
    <s v=""/>
    <n v="2024"/>
    <n v="12"/>
    <s v="December"/>
    <n v="0"/>
    <n v="45.6"/>
    <s v=""/>
    <n v="0"/>
    <n v="484"/>
    <n v="432"/>
    <n v="0"/>
    <n v="484"/>
    <b v="0"/>
    <n v="0"/>
    <b v="1"/>
    <n v="1"/>
    <b v="1"/>
    <n v="1"/>
    <b v="1"/>
    <n v="1"/>
    <b v="0"/>
    <n v="0"/>
    <b v="0"/>
    <n v="0"/>
    <b v="1"/>
    <n v="1"/>
    <s v="N/A"/>
    <n v="0"/>
    <s v=""/>
    <n v="0"/>
  </r>
  <r>
    <s v="TSK-0032"/>
    <x v="2"/>
    <x v="2"/>
    <s v="Kavita Rao"/>
    <s v="Coordinator"/>
    <x v="3"/>
    <s v="Design"/>
    <x v="3"/>
    <d v="2024-09-22T00:00:00"/>
    <d v="2024-10-27T00:00:00"/>
    <s v=""/>
    <s v="2024-10"/>
    <s v="2024-09"/>
    <s v=""/>
    <n v="2024"/>
    <n v="9"/>
    <s v="September"/>
    <n v="0.62"/>
    <n v="11.1"/>
    <n v="3.9"/>
    <n v="-7.1999999999999993"/>
    <n v="569"/>
    <n v="534"/>
    <n v="0"/>
    <n v="569"/>
    <b v="0"/>
    <n v="0"/>
    <b v="1"/>
    <n v="1"/>
    <b v="1"/>
    <n v="1"/>
    <b v="1"/>
    <n v="1"/>
    <b v="0"/>
    <n v="0"/>
    <b v="0"/>
    <n v="0"/>
    <b v="1"/>
    <n v="1"/>
    <s v="On Track"/>
    <n v="1"/>
    <s v=""/>
    <n v="0"/>
  </r>
  <r>
    <s v="TSK-0033"/>
    <x v="1"/>
    <x v="3"/>
    <s v="Rahul Sharma"/>
    <s v="Analyst"/>
    <x v="0"/>
    <s v="Deployment"/>
    <x v="0"/>
    <d v="2024-11-12T00:00:00"/>
    <d v="2025-01-10T00:00:00"/>
    <d v="2025-01-14T00:00:00"/>
    <s v="2025-01"/>
    <s v="2024-11"/>
    <s v="2025-01"/>
    <n v="2024"/>
    <n v="11"/>
    <s v="November"/>
    <n v="1"/>
    <n v="71.3"/>
    <n v="79.3"/>
    <n v="8"/>
    <n v="0"/>
    <n v="4"/>
    <n v="63"/>
    <n v="63"/>
    <b v="1"/>
    <n v="1"/>
    <b v="0"/>
    <n v="0"/>
    <b v="0"/>
    <n v="0"/>
    <b v="0"/>
    <n v="0"/>
    <b v="0"/>
    <n v="0"/>
    <b v="0"/>
    <n v="0"/>
    <b v="0"/>
    <n v="0"/>
    <s v="Healthy"/>
    <n v="1"/>
    <b v="0"/>
    <n v="0"/>
  </r>
  <r>
    <s v="TSK-0034"/>
    <x v="2"/>
    <x v="5"/>
    <s v="Amit Verma"/>
    <s v="Analyst"/>
    <x v="2"/>
    <s v="Testing"/>
    <x v="3"/>
    <d v="2025-02-06T00:00:00"/>
    <d v="2025-03-10T00:00:00"/>
    <s v=""/>
    <s v="2025-03"/>
    <s v="2025-02"/>
    <s v=""/>
    <n v="2025"/>
    <n v="2"/>
    <s v="February"/>
    <n v="0"/>
    <n v="7.8"/>
    <s v=""/>
    <n v="0"/>
    <n v="432"/>
    <n v="400"/>
    <n v="0"/>
    <n v="432"/>
    <b v="0"/>
    <n v="0"/>
    <b v="1"/>
    <n v="1"/>
    <b v="1"/>
    <n v="1"/>
    <b v="1"/>
    <n v="1"/>
    <b v="1"/>
    <n v="1"/>
    <b v="1"/>
    <n v="1"/>
    <b v="1"/>
    <n v="1"/>
    <s v="N/A"/>
    <n v="0"/>
    <s v=""/>
    <n v="0"/>
  </r>
  <r>
    <s v="TSK-0035"/>
    <x v="6"/>
    <x v="1"/>
    <s v="Rohan Iyer"/>
    <s v="Lead"/>
    <x v="1"/>
    <s v="Planning"/>
    <x v="4"/>
    <d v="2025-01-25T00:00:00"/>
    <d v="2025-02-27T00:00:00"/>
    <s v=""/>
    <s v="2025-02"/>
    <s v="2025-01"/>
    <s v=""/>
    <n v="2025"/>
    <n v="1"/>
    <s v="January"/>
    <n v="0"/>
    <n v="67.099999999999994"/>
    <s v=""/>
    <n v="0"/>
    <n v="0"/>
    <n v="0"/>
    <n v="0"/>
    <n v="444"/>
    <b v="0"/>
    <n v="0"/>
    <b v="0"/>
    <n v="0"/>
    <b v="0"/>
    <n v="0"/>
    <b v="0"/>
    <n v="0"/>
    <b v="0"/>
    <n v="0"/>
    <b v="0"/>
    <n v="0"/>
    <b v="0"/>
    <n v="0"/>
    <s v="N/A"/>
    <n v="0"/>
    <s v=""/>
    <n v="0"/>
  </r>
  <r>
    <s v="TSK-0036"/>
    <x v="3"/>
    <x v="1"/>
    <s v="Vikram Singh"/>
    <s v="Manager"/>
    <x v="2"/>
    <s v="Research"/>
    <x v="4"/>
    <d v="2025-01-31T00:00:00"/>
    <d v="2025-03-26T00:00:00"/>
    <s v=""/>
    <s v="2025-03"/>
    <s v="2025-01"/>
    <s v=""/>
    <n v="2025"/>
    <n v="1"/>
    <s v="January"/>
    <n v="0"/>
    <n v="51.6"/>
    <n v="0"/>
    <n v="-51.6"/>
    <n v="0"/>
    <n v="0"/>
    <n v="0"/>
    <n v="438"/>
    <b v="0"/>
    <n v="0"/>
    <b v="0"/>
    <n v="0"/>
    <b v="0"/>
    <n v="0"/>
    <b v="0"/>
    <n v="0"/>
    <b v="0"/>
    <n v="0"/>
    <b v="0"/>
    <n v="0"/>
    <b v="0"/>
    <n v="0"/>
    <s v="N/A"/>
    <n v="0"/>
    <s v=""/>
    <n v="0"/>
  </r>
  <r>
    <s v="TSK-0037"/>
    <x v="4"/>
    <x v="5"/>
    <s v="Vikram Singh"/>
    <s v="Designer"/>
    <x v="3"/>
    <s v="Development"/>
    <x v="3"/>
    <d v="2024-03-15T00:00:00"/>
    <d v="2024-03-29T00:00:00"/>
    <s v=""/>
    <s v="2024-03"/>
    <s v="2024-03"/>
    <s v=""/>
    <n v="2024"/>
    <n v="3"/>
    <s v="March"/>
    <n v="0.64"/>
    <n v="8.9"/>
    <n v="5.3"/>
    <n v="-3.6000000000000005"/>
    <n v="760"/>
    <n v="746"/>
    <n v="0"/>
    <n v="760"/>
    <b v="0"/>
    <n v="0"/>
    <b v="1"/>
    <n v="1"/>
    <b v="1"/>
    <n v="1"/>
    <b v="1"/>
    <n v="1"/>
    <b v="0"/>
    <n v="0"/>
    <b v="0"/>
    <n v="0"/>
    <b v="1"/>
    <n v="1"/>
    <s v="On Track"/>
    <n v="1"/>
    <s v=""/>
    <n v="0"/>
  </r>
  <r>
    <s v="TSK-0038"/>
    <x v="1"/>
    <x v="4"/>
    <s v="Arjun Mehta"/>
    <s v="Analyst"/>
    <x v="2"/>
    <s v="Review"/>
    <x v="2"/>
    <d v="2024-09-05T00:00:00"/>
    <d v="2024-09-10T00:00:00"/>
    <s v=""/>
    <s v="2024-09"/>
    <s v="2024-09"/>
    <s v=""/>
    <n v="2024"/>
    <n v="9"/>
    <s v="September"/>
    <n v="0"/>
    <n v="61.3"/>
    <n v="0"/>
    <n v="-61.3"/>
    <n v="586"/>
    <n v="581"/>
    <n v="0"/>
    <n v="586"/>
    <b v="0"/>
    <n v="0"/>
    <b v="1"/>
    <n v="1"/>
    <b v="1"/>
    <n v="1"/>
    <b v="1"/>
    <n v="1"/>
    <b v="1"/>
    <n v="1"/>
    <b v="1"/>
    <n v="1"/>
    <b v="0"/>
    <n v="0"/>
    <s v="N/A"/>
    <n v="0"/>
    <s v=""/>
    <n v="0"/>
  </r>
  <r>
    <s v="TSK-0039"/>
    <x v="5"/>
    <x v="5"/>
    <s v="Kavita Rao"/>
    <s v="Manager"/>
    <x v="3"/>
    <s v="Documentation"/>
    <x v="1"/>
    <d v="2024-09-09T00:00:00"/>
    <d v="2024-09-15T00:00:00"/>
    <s v=""/>
    <s v="2024-09"/>
    <s v="2024-09"/>
    <s v=""/>
    <n v="2024"/>
    <n v="9"/>
    <s v="September"/>
    <n v="0"/>
    <n v="55.6"/>
    <n v="0"/>
    <n v="-55.6"/>
    <n v="582"/>
    <n v="576"/>
    <n v="0"/>
    <n v="582"/>
    <b v="0"/>
    <n v="0"/>
    <b v="1"/>
    <n v="1"/>
    <b v="1"/>
    <n v="1"/>
    <b v="1"/>
    <n v="1"/>
    <b v="0"/>
    <n v="0"/>
    <b v="0"/>
    <n v="0"/>
    <b v="0"/>
    <n v="0"/>
    <s v="N/A"/>
    <n v="0"/>
    <s v=""/>
    <n v="0"/>
  </r>
  <r>
    <s v="TSK-0040"/>
    <x v="3"/>
    <x v="3"/>
    <s v="Ananya Das"/>
    <s v="Analyst"/>
    <x v="2"/>
    <s v="Review"/>
    <x v="0"/>
    <d v="2024-11-03T00:00:00"/>
    <d v="2024-12-14T00:00:00"/>
    <d v="2024-12-06T00:00:00"/>
    <s v="2024-12"/>
    <s v="2024-11"/>
    <s v="2024-12"/>
    <n v="2024"/>
    <n v="11"/>
    <s v="November"/>
    <n v="1"/>
    <n v="14.3"/>
    <n v="17.8"/>
    <n v="3.5"/>
    <n v="0"/>
    <n v="0"/>
    <n v="33"/>
    <n v="33"/>
    <b v="1"/>
    <n v="1"/>
    <b v="0"/>
    <n v="0"/>
    <b v="0"/>
    <n v="0"/>
    <b v="0"/>
    <n v="0"/>
    <b v="0"/>
    <n v="0"/>
    <b v="0"/>
    <n v="0"/>
    <b v="0"/>
    <n v="0"/>
    <s v="Over Budget"/>
    <n v="0"/>
    <b v="1"/>
    <n v="1"/>
  </r>
  <r>
    <s v="TSK-0041"/>
    <x v="9"/>
    <x v="5"/>
    <s v="Kavita Rao"/>
    <s v="Designer"/>
    <x v="3"/>
    <s v="Review"/>
    <x v="1"/>
    <d v="2024-05-26T00:00:00"/>
    <d v="2024-07-18T00:00:00"/>
    <s v=""/>
    <s v="2024-07"/>
    <s v="2024-05"/>
    <s v=""/>
    <n v="2024"/>
    <n v="5"/>
    <s v="May"/>
    <n v="0.21"/>
    <n v="39.700000000000003"/>
    <s v=""/>
    <n v="0"/>
    <n v="688"/>
    <n v="635"/>
    <n v="0"/>
    <n v="688"/>
    <b v="0"/>
    <n v="0"/>
    <b v="1"/>
    <n v="1"/>
    <b v="1"/>
    <n v="1"/>
    <b v="1"/>
    <n v="1"/>
    <b v="0"/>
    <n v="0"/>
    <b v="0"/>
    <n v="0"/>
    <b v="0"/>
    <n v="0"/>
    <s v="N/A"/>
    <n v="0"/>
    <s v=""/>
    <n v="0"/>
  </r>
  <r>
    <s v="TSK-0042"/>
    <x v="9"/>
    <x v="5"/>
    <s v="Rohan Iyer"/>
    <s v="Analyst"/>
    <x v="2"/>
    <s v="Development"/>
    <x v="3"/>
    <d v="2025-01-25T00:00:00"/>
    <d v="2025-01-31T00:00:00"/>
    <s v=""/>
    <s v="2025-01"/>
    <s v="2025-01"/>
    <s v=""/>
    <n v="2025"/>
    <n v="1"/>
    <s v="January"/>
    <n v="0.73"/>
    <n v="22.1"/>
    <n v="4"/>
    <n v="-18.100000000000001"/>
    <n v="444"/>
    <n v="438"/>
    <n v="0"/>
    <n v="444"/>
    <b v="0"/>
    <n v="0"/>
    <b v="1"/>
    <n v="1"/>
    <b v="1"/>
    <n v="1"/>
    <b v="1"/>
    <n v="1"/>
    <b v="1"/>
    <n v="1"/>
    <b v="1"/>
    <n v="1"/>
    <b v="1"/>
    <n v="1"/>
    <s v="On Track"/>
    <n v="1"/>
    <s v=""/>
    <n v="0"/>
  </r>
  <r>
    <s v="TSK-0043"/>
    <x v="4"/>
    <x v="4"/>
    <s v="Amit Verma"/>
    <s v="Developer"/>
    <x v="2"/>
    <s v="Design"/>
    <x v="0"/>
    <d v="2024-06-12T00:00:00"/>
    <d v="2024-06-23T00:00:00"/>
    <d v="2024-06-22T00:00:00"/>
    <s v="2024-06"/>
    <s v="2024-06"/>
    <s v="2024-06"/>
    <n v="2024"/>
    <n v="6"/>
    <s v="June"/>
    <n v="1"/>
    <n v="55.5"/>
    <n v="78.8"/>
    <n v="23.299999999999997"/>
    <n v="0"/>
    <n v="0"/>
    <n v="10"/>
    <n v="10"/>
    <b v="1"/>
    <n v="1"/>
    <b v="0"/>
    <n v="0"/>
    <b v="0"/>
    <n v="0"/>
    <b v="0"/>
    <n v="0"/>
    <b v="0"/>
    <n v="0"/>
    <b v="0"/>
    <n v="0"/>
    <b v="0"/>
    <n v="0"/>
    <s v="Over Budget"/>
    <n v="0"/>
    <b v="1"/>
    <n v="1"/>
  </r>
  <r>
    <s v="TSK-0044"/>
    <x v="5"/>
    <x v="5"/>
    <s v="Priya Patel"/>
    <s v="Designer"/>
    <x v="2"/>
    <s v="Testing"/>
    <x v="0"/>
    <d v="2024-10-20T00:00:00"/>
    <d v="2024-12-14T00:00:00"/>
    <d v="2024-12-15T00:00:00"/>
    <s v="2024-12"/>
    <s v="2024-10"/>
    <s v="2024-12"/>
    <n v="2024"/>
    <n v="10"/>
    <s v="October"/>
    <n v="1"/>
    <n v="36.6"/>
    <n v="36.4"/>
    <n v="-0.20000000000000284"/>
    <n v="0"/>
    <n v="1"/>
    <n v="56"/>
    <n v="56"/>
    <b v="1"/>
    <n v="1"/>
    <b v="0"/>
    <n v="0"/>
    <b v="0"/>
    <n v="0"/>
    <b v="0"/>
    <n v="0"/>
    <b v="0"/>
    <n v="0"/>
    <b v="0"/>
    <n v="0"/>
    <b v="0"/>
    <n v="0"/>
    <s v="Healthy"/>
    <n v="1"/>
    <b v="0"/>
    <n v="0"/>
  </r>
  <r>
    <s v="TSK-0045"/>
    <x v="2"/>
    <x v="1"/>
    <s v="Priya Patel"/>
    <s v="Coordinator"/>
    <x v="3"/>
    <s v="Documentation"/>
    <x v="1"/>
    <d v="2025-01-01T00:00:00"/>
    <d v="2025-01-15T00:00:00"/>
    <s v=""/>
    <s v="2025-01"/>
    <s v="2025-01"/>
    <s v=""/>
    <n v="2025"/>
    <n v="1"/>
    <s v="January"/>
    <n v="0"/>
    <n v="43.7"/>
    <s v=""/>
    <n v="0"/>
    <n v="468"/>
    <n v="454"/>
    <n v="0"/>
    <n v="468"/>
    <b v="0"/>
    <n v="0"/>
    <b v="1"/>
    <n v="1"/>
    <b v="1"/>
    <n v="1"/>
    <b v="1"/>
    <n v="1"/>
    <b v="0"/>
    <n v="0"/>
    <b v="0"/>
    <n v="0"/>
    <b v="0"/>
    <n v="0"/>
    <s v="N/A"/>
    <n v="0"/>
    <s v=""/>
    <n v="0"/>
  </r>
  <r>
    <s v="TSK-0046"/>
    <x v="7"/>
    <x v="1"/>
    <s v="Kavita Rao"/>
    <s v="Coordinator"/>
    <x v="2"/>
    <s v="Research"/>
    <x v="3"/>
    <d v="2024-06-18T00:00:00"/>
    <d v="2024-08-16T00:00:00"/>
    <s v=""/>
    <s v="2024-08"/>
    <s v="2024-06"/>
    <s v=""/>
    <n v="2024"/>
    <n v="6"/>
    <s v="June"/>
    <n v="0.37"/>
    <n v="61"/>
    <n v="37.299999999999997"/>
    <n v="-23.700000000000003"/>
    <n v="665"/>
    <n v="606"/>
    <n v="0"/>
    <n v="665"/>
    <b v="0"/>
    <n v="0"/>
    <b v="1"/>
    <n v="1"/>
    <b v="1"/>
    <n v="1"/>
    <b v="1"/>
    <n v="1"/>
    <b v="1"/>
    <n v="1"/>
    <b v="1"/>
    <n v="1"/>
    <b v="1"/>
    <n v="1"/>
    <s v="Slow"/>
    <n v="0"/>
    <s v=""/>
    <n v="0"/>
  </r>
  <r>
    <s v="TSK-0047"/>
    <x v="3"/>
    <x v="2"/>
    <s v="Amit Verma"/>
    <s v="Lead"/>
    <x v="0"/>
    <s v="Review"/>
    <x v="2"/>
    <d v="2024-05-16T00:00:00"/>
    <d v="2024-06-11T00:00:00"/>
    <s v=""/>
    <s v="2024-06"/>
    <s v="2024-05"/>
    <s v=""/>
    <n v="2024"/>
    <n v="5"/>
    <s v="May"/>
    <n v="0"/>
    <n v="57.3"/>
    <n v="0"/>
    <n v="-57.3"/>
    <n v="698"/>
    <n v="672"/>
    <n v="0"/>
    <n v="698"/>
    <b v="0"/>
    <n v="0"/>
    <b v="1"/>
    <n v="1"/>
    <b v="1"/>
    <n v="1"/>
    <b v="1"/>
    <n v="1"/>
    <b v="1"/>
    <n v="1"/>
    <b v="1"/>
    <n v="1"/>
    <b v="0"/>
    <n v="0"/>
    <s v="N/A"/>
    <n v="0"/>
    <s v=""/>
    <n v="0"/>
  </r>
  <r>
    <s v="TSK-0048"/>
    <x v="7"/>
    <x v="5"/>
    <s v="Priya Patel"/>
    <s v="Manager"/>
    <x v="1"/>
    <s v="Documentation"/>
    <x v="3"/>
    <d v="2024-09-11T00:00:00"/>
    <d v="2024-10-21T00:00:00"/>
    <s v=""/>
    <s v="2024-10"/>
    <s v="2024-09"/>
    <s v=""/>
    <n v="2024"/>
    <n v="9"/>
    <s v="September"/>
    <n v="0"/>
    <n v="64.3"/>
    <s v=""/>
    <n v="0"/>
    <n v="580"/>
    <n v="540"/>
    <n v="0"/>
    <n v="580"/>
    <b v="0"/>
    <n v="0"/>
    <b v="1"/>
    <n v="1"/>
    <b v="1"/>
    <n v="1"/>
    <b v="1"/>
    <n v="1"/>
    <b v="0"/>
    <n v="0"/>
    <b v="0"/>
    <n v="0"/>
    <b v="1"/>
    <n v="1"/>
    <s v="N/A"/>
    <n v="0"/>
    <s v=""/>
    <n v="0"/>
  </r>
  <r>
    <s v="TSK-0049"/>
    <x v="1"/>
    <x v="2"/>
    <s v="Rohan Iyer"/>
    <s v="Tester"/>
    <x v="3"/>
    <s v="Deployment"/>
    <x v="2"/>
    <d v="2024-06-29T00:00:00"/>
    <d v="2024-07-31T00:00:00"/>
    <s v=""/>
    <s v="2024-07"/>
    <s v="2024-06"/>
    <s v=""/>
    <n v="2024"/>
    <n v="6"/>
    <s v="June"/>
    <n v="0"/>
    <n v="57.4"/>
    <n v="0"/>
    <n v="-57.4"/>
    <n v="654"/>
    <n v="622"/>
    <n v="0"/>
    <n v="654"/>
    <b v="0"/>
    <n v="0"/>
    <b v="1"/>
    <n v="1"/>
    <b v="1"/>
    <n v="1"/>
    <b v="1"/>
    <n v="1"/>
    <b v="0"/>
    <n v="0"/>
    <b v="0"/>
    <n v="0"/>
    <b v="0"/>
    <n v="0"/>
    <s v="N/A"/>
    <n v="0"/>
    <s v=""/>
    <n v="0"/>
  </r>
  <r>
    <s v="TSK-0050"/>
    <x v="1"/>
    <x v="3"/>
    <s v="Pooja Reddy"/>
    <s v="Manager"/>
    <x v="3"/>
    <s v="Testing"/>
    <x v="3"/>
    <d v="2025-01-19T00:00:00"/>
    <d v="2025-02-27T00:00:00"/>
    <s v=""/>
    <s v="2025-02"/>
    <s v="2025-01"/>
    <s v=""/>
    <n v="2025"/>
    <n v="1"/>
    <s v="January"/>
    <n v="0.6"/>
    <n v="59.1"/>
    <n v="28.9"/>
    <n v="-30.200000000000003"/>
    <n v="450"/>
    <n v="411"/>
    <n v="0"/>
    <n v="450"/>
    <b v="0"/>
    <n v="0"/>
    <b v="1"/>
    <n v="1"/>
    <b v="1"/>
    <n v="1"/>
    <b v="1"/>
    <n v="1"/>
    <b v="0"/>
    <n v="0"/>
    <b v="0"/>
    <n v="0"/>
    <b v="1"/>
    <n v="1"/>
    <s v="On Track"/>
    <n v="1"/>
    <s v=""/>
    <n v="0"/>
  </r>
  <r>
    <s v="TSK-0051"/>
    <x v="1"/>
    <x v="2"/>
    <s v="Sneha Gupta"/>
    <s v="Tester"/>
    <x v="0"/>
    <s v="Planning"/>
    <x v="3"/>
    <d v="2024-01-12T00:00:00"/>
    <d v="2024-03-02T00:00:00"/>
    <s v=""/>
    <s v="2024-03"/>
    <s v="2024-01"/>
    <s v=""/>
    <n v="2024"/>
    <n v="1"/>
    <s v="January"/>
    <n v="0.33"/>
    <n v="57"/>
    <s v=""/>
    <n v="0"/>
    <n v="823"/>
    <n v="773"/>
    <n v="0"/>
    <n v="823"/>
    <b v="0"/>
    <n v="0"/>
    <b v="1"/>
    <n v="1"/>
    <b v="1"/>
    <n v="1"/>
    <b v="1"/>
    <n v="1"/>
    <b v="1"/>
    <n v="1"/>
    <b v="1"/>
    <n v="1"/>
    <b v="1"/>
    <n v="1"/>
    <s v="Slow"/>
    <n v="0"/>
    <s v=""/>
    <n v="0"/>
  </r>
  <r>
    <s v="TSK-0052"/>
    <x v="0"/>
    <x v="0"/>
    <s v="Ananya Das"/>
    <s v="Designer"/>
    <x v="3"/>
    <s v="Deployment"/>
    <x v="3"/>
    <d v="2024-08-17T00:00:00"/>
    <d v="2024-09-12T00:00:00"/>
    <s v=""/>
    <s v="2024-09"/>
    <s v="2024-08"/>
    <s v=""/>
    <n v="2024"/>
    <n v="8"/>
    <s v="August"/>
    <n v="0.16"/>
    <n v="66.5"/>
    <n v="6.3"/>
    <n v="-60.2"/>
    <n v="605"/>
    <n v="579"/>
    <n v="0"/>
    <n v="605"/>
    <b v="0"/>
    <n v="0"/>
    <b v="1"/>
    <n v="1"/>
    <b v="1"/>
    <n v="1"/>
    <b v="1"/>
    <n v="1"/>
    <b v="0"/>
    <n v="0"/>
    <b v="0"/>
    <n v="0"/>
    <b v="1"/>
    <n v="1"/>
    <s v="Slow"/>
    <n v="0"/>
    <s v=""/>
    <n v="0"/>
  </r>
  <r>
    <s v="TSK-0053"/>
    <x v="6"/>
    <x v="3"/>
    <s v="Sanjay Kulkarni"/>
    <s v="Designer"/>
    <x v="0"/>
    <s v="Research"/>
    <x v="1"/>
    <d v="2024-03-05T00:00:00"/>
    <d v="2024-04-14T00:00:00"/>
    <s v=""/>
    <s v="2024-04"/>
    <s v="2024-03"/>
    <s v=""/>
    <n v="2024"/>
    <n v="3"/>
    <s v="March"/>
    <n v="0"/>
    <n v="32.9"/>
    <n v="0"/>
    <n v="-32.9"/>
    <n v="770"/>
    <n v="730"/>
    <n v="0"/>
    <n v="770"/>
    <b v="0"/>
    <n v="0"/>
    <b v="1"/>
    <n v="1"/>
    <b v="1"/>
    <n v="1"/>
    <b v="1"/>
    <n v="1"/>
    <b v="1"/>
    <n v="1"/>
    <b v="1"/>
    <n v="1"/>
    <b v="0"/>
    <n v="0"/>
    <s v="N/A"/>
    <n v="0"/>
    <s v=""/>
    <n v="0"/>
  </r>
  <r>
    <s v="TSK-0054"/>
    <x v="2"/>
    <x v="2"/>
    <s v="Ananya Das"/>
    <s v="Analyst"/>
    <x v="1"/>
    <s v="Testing"/>
    <x v="3"/>
    <d v="2025-01-29T00:00:00"/>
    <d v="2025-02-16T00:00:00"/>
    <s v=""/>
    <s v="2025-02"/>
    <s v="2025-01"/>
    <s v=""/>
    <n v="2025"/>
    <n v="1"/>
    <s v="January"/>
    <n v="0.62"/>
    <n v="22.2"/>
    <n v="4.8"/>
    <n v="-17.399999999999999"/>
    <n v="440"/>
    <n v="422"/>
    <n v="0"/>
    <n v="440"/>
    <b v="0"/>
    <n v="0"/>
    <b v="1"/>
    <n v="1"/>
    <b v="1"/>
    <n v="1"/>
    <b v="1"/>
    <n v="1"/>
    <b v="0"/>
    <n v="0"/>
    <b v="0"/>
    <n v="0"/>
    <b v="1"/>
    <n v="1"/>
    <s v="On Track"/>
    <n v="1"/>
    <s v=""/>
    <n v="0"/>
  </r>
  <r>
    <s v="TSK-0055"/>
    <x v="5"/>
    <x v="1"/>
    <s v="Vikram Singh"/>
    <s v="Analyst"/>
    <x v="0"/>
    <s v="Planning"/>
    <x v="1"/>
    <d v="2024-12-31T00:00:00"/>
    <d v="2025-01-23T00:00:00"/>
    <s v=""/>
    <s v="2025-01"/>
    <s v="2024-12"/>
    <s v=""/>
    <n v="2024"/>
    <n v="12"/>
    <s v="December"/>
    <n v="0"/>
    <n v="21.7"/>
    <n v="0"/>
    <n v="-21.7"/>
    <n v="469"/>
    <n v="446"/>
    <n v="0"/>
    <n v="469"/>
    <b v="0"/>
    <n v="0"/>
    <b v="1"/>
    <n v="1"/>
    <b v="1"/>
    <n v="1"/>
    <b v="1"/>
    <n v="1"/>
    <b v="1"/>
    <n v="1"/>
    <b v="1"/>
    <n v="1"/>
    <b v="0"/>
    <n v="0"/>
    <s v="N/A"/>
    <n v="0"/>
    <s v=""/>
    <n v="0"/>
  </r>
  <r>
    <s v="TSK-0056"/>
    <x v="1"/>
    <x v="4"/>
    <s v="Priya Patel"/>
    <s v="Manager"/>
    <x v="1"/>
    <s v="Testing"/>
    <x v="3"/>
    <d v="2024-05-20T00:00:00"/>
    <d v="2024-07-16T00:00:00"/>
    <s v=""/>
    <s v="2024-07"/>
    <s v="2024-05"/>
    <s v=""/>
    <n v="2024"/>
    <n v="5"/>
    <s v="May"/>
    <n v="0.4"/>
    <n v="49.2"/>
    <n v="40.9"/>
    <n v="-8.3000000000000043"/>
    <n v="694"/>
    <n v="637"/>
    <n v="0"/>
    <n v="694"/>
    <b v="0"/>
    <n v="0"/>
    <b v="1"/>
    <n v="1"/>
    <b v="1"/>
    <n v="1"/>
    <b v="1"/>
    <n v="1"/>
    <b v="0"/>
    <n v="0"/>
    <b v="0"/>
    <n v="0"/>
    <b v="1"/>
    <n v="1"/>
    <s v="Slow"/>
    <n v="0"/>
    <s v=""/>
    <n v="0"/>
  </r>
  <r>
    <s v="TSK-0057"/>
    <x v="3"/>
    <x v="2"/>
    <s v="Pooja Reddy"/>
    <s v="Tester"/>
    <x v="3"/>
    <s v="Deployment"/>
    <x v="1"/>
    <d v="2024-10-07T00:00:00"/>
    <d v="2024-11-12T00:00:00"/>
    <s v=""/>
    <s v="2024-11"/>
    <s v="2024-10"/>
    <s v=""/>
    <n v="2024"/>
    <n v="10"/>
    <s v="October"/>
    <n v="0"/>
    <n v="7"/>
    <n v="0"/>
    <n v="-7"/>
    <n v="554"/>
    <n v="518"/>
    <n v="0"/>
    <n v="554"/>
    <b v="0"/>
    <n v="0"/>
    <b v="1"/>
    <n v="1"/>
    <b v="1"/>
    <n v="1"/>
    <b v="1"/>
    <n v="1"/>
    <b v="0"/>
    <n v="0"/>
    <b v="0"/>
    <n v="0"/>
    <b v="0"/>
    <n v="0"/>
    <s v="N/A"/>
    <n v="0"/>
    <s v=""/>
    <n v="0"/>
  </r>
  <r>
    <s v="TSK-0058"/>
    <x v="5"/>
    <x v="2"/>
    <s v="Rahul Sharma"/>
    <s v="Analyst"/>
    <x v="0"/>
    <s v="Development"/>
    <x v="2"/>
    <d v="2025-01-30T00:00:00"/>
    <d v="2025-03-19T00:00:00"/>
    <s v=""/>
    <s v="2025-03"/>
    <s v="2025-01"/>
    <s v=""/>
    <n v="2025"/>
    <n v="1"/>
    <s v="January"/>
    <n v="0"/>
    <n v="7.1"/>
    <s v=""/>
    <n v="0"/>
    <n v="439"/>
    <n v="391"/>
    <n v="0"/>
    <n v="439"/>
    <b v="0"/>
    <n v="0"/>
    <b v="1"/>
    <n v="1"/>
    <b v="1"/>
    <n v="1"/>
    <b v="1"/>
    <n v="1"/>
    <b v="1"/>
    <n v="1"/>
    <b v="1"/>
    <n v="1"/>
    <b v="0"/>
    <n v="0"/>
    <s v="N/A"/>
    <n v="0"/>
    <s v=""/>
    <n v="0"/>
  </r>
  <r>
    <s v="TSK-0059"/>
    <x v="3"/>
    <x v="2"/>
    <s v="Amit Verma"/>
    <s v="Coordinator"/>
    <x v="1"/>
    <s v="Deployment"/>
    <x v="2"/>
    <d v="2024-02-20T00:00:00"/>
    <d v="2024-03-26T00:00:00"/>
    <s v=""/>
    <s v="2024-03"/>
    <s v="2024-02"/>
    <s v=""/>
    <n v="2024"/>
    <n v="2"/>
    <s v="February"/>
    <n v="0"/>
    <n v="29.3"/>
    <s v=""/>
    <n v="0"/>
    <n v="784"/>
    <n v="749"/>
    <n v="0"/>
    <n v="784"/>
    <b v="0"/>
    <n v="0"/>
    <b v="1"/>
    <n v="1"/>
    <b v="1"/>
    <n v="1"/>
    <b v="1"/>
    <n v="1"/>
    <b v="0"/>
    <n v="0"/>
    <b v="0"/>
    <n v="0"/>
    <b v="0"/>
    <n v="0"/>
    <s v="N/A"/>
    <n v="0"/>
    <s v=""/>
    <n v="0"/>
  </r>
  <r>
    <s v="TSK-0060"/>
    <x v="9"/>
    <x v="4"/>
    <s v="Pooja Reddy"/>
    <s v="Lead"/>
    <x v="3"/>
    <s v="Review"/>
    <x v="0"/>
    <d v="2025-01-28T00:00:00"/>
    <d v="2025-03-09T00:00:00"/>
    <d v="2025-03-13T00:00:00"/>
    <s v="2025-03"/>
    <s v="2025-01"/>
    <s v="2025-03"/>
    <n v="2025"/>
    <n v="1"/>
    <s v="January"/>
    <n v="1"/>
    <n v="27.9"/>
    <n v="25.8"/>
    <n v="-2.0999999999999979"/>
    <n v="0"/>
    <n v="4"/>
    <n v="44"/>
    <n v="44"/>
    <b v="1"/>
    <n v="1"/>
    <b v="0"/>
    <n v="0"/>
    <b v="0"/>
    <n v="0"/>
    <b v="0"/>
    <n v="0"/>
    <b v="0"/>
    <n v="0"/>
    <b v="0"/>
    <n v="0"/>
    <b v="0"/>
    <n v="0"/>
    <s v="Healthy"/>
    <n v="1"/>
    <b v="0"/>
    <n v="0"/>
  </r>
  <r>
    <s v="TSK-0061"/>
    <x v="8"/>
    <x v="1"/>
    <s v="Arjun Mehta"/>
    <s v="Analyst"/>
    <x v="0"/>
    <s v="Deployment"/>
    <x v="4"/>
    <d v="2024-07-08T00:00:00"/>
    <d v="2024-08-21T00:00:00"/>
    <s v=""/>
    <s v="2024-08"/>
    <s v="2024-07"/>
    <s v=""/>
    <n v="2024"/>
    <n v="7"/>
    <s v="July"/>
    <n v="0"/>
    <n v="37.6"/>
    <s v=""/>
    <n v="0"/>
    <n v="0"/>
    <n v="0"/>
    <n v="0"/>
    <n v="645"/>
    <b v="0"/>
    <n v="0"/>
    <b v="0"/>
    <n v="0"/>
    <b v="0"/>
    <n v="0"/>
    <b v="0"/>
    <n v="0"/>
    <b v="0"/>
    <n v="0"/>
    <b v="0"/>
    <n v="0"/>
    <b v="0"/>
    <n v="0"/>
    <s v="N/A"/>
    <n v="0"/>
    <s v=""/>
    <n v="0"/>
  </r>
  <r>
    <s v="TSK-0062"/>
    <x v="7"/>
    <x v="3"/>
    <s v="Karan Malhotra"/>
    <s v="Designer"/>
    <x v="3"/>
    <s v="Deployment"/>
    <x v="3"/>
    <d v="2024-03-07T00:00:00"/>
    <d v="2024-03-13T00:00:00"/>
    <s v=""/>
    <s v="2024-03"/>
    <s v="2024-03"/>
    <s v=""/>
    <n v="2024"/>
    <n v="3"/>
    <s v="March"/>
    <n v="0.3"/>
    <n v="46"/>
    <s v=""/>
    <n v="0"/>
    <n v="768"/>
    <n v="762"/>
    <n v="0"/>
    <n v="768"/>
    <b v="0"/>
    <n v="0"/>
    <b v="1"/>
    <n v="1"/>
    <b v="1"/>
    <n v="1"/>
    <b v="1"/>
    <n v="1"/>
    <b v="0"/>
    <n v="0"/>
    <b v="0"/>
    <n v="0"/>
    <b v="1"/>
    <n v="1"/>
    <s v="Slow"/>
    <n v="0"/>
    <s v=""/>
    <n v="0"/>
  </r>
  <r>
    <s v="TSK-0063"/>
    <x v="0"/>
    <x v="3"/>
    <s v="Kavita Rao"/>
    <s v="Designer"/>
    <x v="1"/>
    <s v="Research"/>
    <x v="4"/>
    <d v="2024-08-04T00:00:00"/>
    <d v="2024-10-01T00:00:00"/>
    <s v=""/>
    <s v="2024-10"/>
    <s v="2024-08"/>
    <s v=""/>
    <n v="2024"/>
    <n v="8"/>
    <s v="August"/>
    <n v="0"/>
    <n v="22.5"/>
    <s v=""/>
    <n v="0"/>
    <n v="0"/>
    <n v="0"/>
    <n v="0"/>
    <n v="618"/>
    <b v="0"/>
    <n v="0"/>
    <b v="0"/>
    <n v="0"/>
    <b v="0"/>
    <n v="0"/>
    <b v="0"/>
    <n v="0"/>
    <b v="0"/>
    <n v="0"/>
    <b v="0"/>
    <n v="0"/>
    <b v="0"/>
    <n v="0"/>
    <s v="N/A"/>
    <n v="0"/>
    <s v=""/>
    <n v="0"/>
  </r>
  <r>
    <s v="TSK-0064"/>
    <x v="1"/>
    <x v="1"/>
    <s v="Pooja Reddy"/>
    <s v="Developer"/>
    <x v="2"/>
    <s v="Development"/>
    <x v="1"/>
    <d v="2024-05-25T00:00:00"/>
    <d v="2024-07-18T00:00:00"/>
    <s v=""/>
    <s v="2024-07"/>
    <s v="2024-05"/>
    <s v=""/>
    <n v="2024"/>
    <n v="5"/>
    <s v="May"/>
    <n v="0"/>
    <n v="24.3"/>
    <s v=""/>
    <n v="0"/>
    <n v="689"/>
    <n v="635"/>
    <n v="0"/>
    <n v="689"/>
    <b v="0"/>
    <n v="0"/>
    <b v="1"/>
    <n v="1"/>
    <b v="1"/>
    <n v="1"/>
    <b v="1"/>
    <n v="1"/>
    <b v="1"/>
    <n v="1"/>
    <b v="1"/>
    <n v="1"/>
    <b v="0"/>
    <n v="0"/>
    <s v="N/A"/>
    <n v="0"/>
    <s v=""/>
    <n v="0"/>
  </r>
  <r>
    <s v="TSK-0065"/>
    <x v="5"/>
    <x v="1"/>
    <s v="Meera Thakur"/>
    <s v="Developer"/>
    <x v="3"/>
    <s v="Deployment"/>
    <x v="1"/>
    <d v="2024-06-29T00:00:00"/>
    <d v="2024-07-25T00:00:00"/>
    <s v=""/>
    <s v="2024-07"/>
    <s v="2024-06"/>
    <s v=""/>
    <n v="2024"/>
    <n v="6"/>
    <s v="June"/>
    <n v="0"/>
    <n v="70.099999999999994"/>
    <s v=""/>
    <n v="0"/>
    <n v="654"/>
    <n v="628"/>
    <n v="0"/>
    <n v="654"/>
    <b v="0"/>
    <n v="0"/>
    <b v="1"/>
    <n v="1"/>
    <b v="1"/>
    <n v="1"/>
    <b v="1"/>
    <n v="1"/>
    <b v="0"/>
    <n v="0"/>
    <b v="0"/>
    <n v="0"/>
    <b v="0"/>
    <n v="0"/>
    <s v="N/A"/>
    <n v="0"/>
    <s v=""/>
    <n v="0"/>
  </r>
  <r>
    <s v="TSK-0066"/>
    <x v="2"/>
    <x v="5"/>
    <s v="Meera Thakur"/>
    <s v="Coordinator"/>
    <x v="0"/>
    <s v="Planning"/>
    <x v="1"/>
    <d v="2025-01-20T00:00:00"/>
    <d v="2025-02-24T00:00:00"/>
    <s v=""/>
    <s v="2025-02"/>
    <s v="2025-01"/>
    <s v=""/>
    <n v="2025"/>
    <n v="1"/>
    <s v="January"/>
    <n v="0"/>
    <n v="64.2"/>
    <s v=""/>
    <n v="0"/>
    <n v="449"/>
    <n v="414"/>
    <n v="0"/>
    <n v="449"/>
    <b v="0"/>
    <n v="0"/>
    <b v="1"/>
    <n v="1"/>
    <b v="1"/>
    <n v="1"/>
    <b v="1"/>
    <n v="1"/>
    <b v="1"/>
    <n v="1"/>
    <b v="1"/>
    <n v="1"/>
    <b v="0"/>
    <n v="0"/>
    <s v="N/A"/>
    <n v="0"/>
    <s v=""/>
    <n v="0"/>
  </r>
  <r>
    <s v="TSK-0067"/>
    <x v="8"/>
    <x v="3"/>
    <s v="Deepak Nair"/>
    <s v="Designer"/>
    <x v="2"/>
    <s v="Testing"/>
    <x v="4"/>
    <d v="2024-08-17T00:00:00"/>
    <d v="2024-08-28T00:00:00"/>
    <s v=""/>
    <s v="2024-08"/>
    <s v="2024-08"/>
    <s v=""/>
    <n v="2024"/>
    <n v="8"/>
    <s v="August"/>
    <n v="0"/>
    <n v="5.2"/>
    <s v=""/>
    <n v="0"/>
    <n v="0"/>
    <n v="0"/>
    <n v="0"/>
    <n v="605"/>
    <b v="0"/>
    <n v="0"/>
    <b v="0"/>
    <n v="0"/>
    <b v="0"/>
    <n v="0"/>
    <b v="0"/>
    <n v="0"/>
    <b v="0"/>
    <n v="0"/>
    <b v="0"/>
    <n v="0"/>
    <b v="0"/>
    <n v="0"/>
    <s v="N/A"/>
    <n v="0"/>
    <s v=""/>
    <n v="0"/>
  </r>
  <r>
    <s v="TSK-0068"/>
    <x v="0"/>
    <x v="1"/>
    <s v="Sanjay Kulkarni"/>
    <s v="Manager"/>
    <x v="3"/>
    <s v="Review"/>
    <x v="2"/>
    <d v="2024-12-02T00:00:00"/>
    <d v="2024-12-12T00:00:00"/>
    <s v=""/>
    <s v="2024-12"/>
    <s v="2024-12"/>
    <s v=""/>
    <n v="2024"/>
    <n v="12"/>
    <s v="December"/>
    <n v="0"/>
    <n v="32.9"/>
    <n v="0"/>
    <n v="-32.9"/>
    <n v="498"/>
    <n v="488"/>
    <n v="0"/>
    <n v="498"/>
    <b v="0"/>
    <n v="0"/>
    <b v="1"/>
    <n v="1"/>
    <b v="1"/>
    <n v="1"/>
    <b v="1"/>
    <n v="1"/>
    <b v="0"/>
    <n v="0"/>
    <b v="0"/>
    <n v="0"/>
    <b v="0"/>
    <n v="0"/>
    <s v="N/A"/>
    <n v="0"/>
    <s v=""/>
    <n v="0"/>
  </r>
  <r>
    <s v="TSK-0069"/>
    <x v="7"/>
    <x v="0"/>
    <s v="Ananya Das"/>
    <s v="Analyst"/>
    <x v="0"/>
    <s v="Planning"/>
    <x v="0"/>
    <d v="2024-04-30T00:00:00"/>
    <d v="2024-06-21T00:00:00"/>
    <d v="2024-06-24T00:00:00"/>
    <s v="2024-06"/>
    <s v="2024-04"/>
    <s v="2024-06"/>
    <n v="2024"/>
    <n v="4"/>
    <s v="April"/>
    <n v="1"/>
    <n v="61.8"/>
    <n v="75"/>
    <n v="13.200000000000003"/>
    <n v="0"/>
    <n v="3"/>
    <n v="55"/>
    <n v="55"/>
    <b v="1"/>
    <n v="1"/>
    <b v="0"/>
    <n v="0"/>
    <b v="0"/>
    <n v="0"/>
    <b v="0"/>
    <n v="0"/>
    <b v="0"/>
    <n v="0"/>
    <b v="0"/>
    <n v="0"/>
    <b v="0"/>
    <n v="0"/>
    <s v="Over Budget"/>
    <n v="0"/>
    <b v="0"/>
    <n v="0"/>
  </r>
  <r>
    <s v="TSK-0070"/>
    <x v="4"/>
    <x v="0"/>
    <s v="Rahul Sharma"/>
    <s v="Designer"/>
    <x v="2"/>
    <s v="Development"/>
    <x v="2"/>
    <d v="2024-06-03T00:00:00"/>
    <d v="2024-06-30T00:00:00"/>
    <s v=""/>
    <s v="2024-06"/>
    <s v="2024-06"/>
    <s v=""/>
    <n v="2024"/>
    <n v="6"/>
    <s v="June"/>
    <n v="0"/>
    <n v="15.1"/>
    <s v=""/>
    <n v="0"/>
    <n v="680"/>
    <n v="653"/>
    <n v="0"/>
    <n v="680"/>
    <b v="0"/>
    <n v="0"/>
    <b v="1"/>
    <n v="1"/>
    <b v="1"/>
    <n v="1"/>
    <b v="1"/>
    <n v="1"/>
    <b v="1"/>
    <n v="1"/>
    <b v="1"/>
    <n v="1"/>
    <b v="0"/>
    <n v="0"/>
    <s v="N/A"/>
    <n v="0"/>
    <s v=""/>
    <n v="0"/>
  </r>
  <r>
    <s v="TSK-0071"/>
    <x v="6"/>
    <x v="3"/>
    <s v="Amit Verma"/>
    <s v="Analyst"/>
    <x v="1"/>
    <s v="Review"/>
    <x v="3"/>
    <d v="2024-11-17T00:00:00"/>
    <d v="2025-01-04T00:00:00"/>
    <s v=""/>
    <s v="2025-01"/>
    <s v="2024-11"/>
    <s v=""/>
    <n v="2024"/>
    <n v="11"/>
    <s v="November"/>
    <n v="0.78"/>
    <n v="21.6"/>
    <n v="10"/>
    <n v="-11.600000000000001"/>
    <n v="513"/>
    <n v="465"/>
    <n v="0"/>
    <n v="513"/>
    <b v="0"/>
    <n v="0"/>
    <b v="1"/>
    <n v="1"/>
    <b v="1"/>
    <n v="1"/>
    <b v="1"/>
    <n v="1"/>
    <b v="0"/>
    <n v="0"/>
    <b v="0"/>
    <n v="0"/>
    <b v="1"/>
    <n v="1"/>
    <s v="On Track"/>
    <n v="1"/>
    <s v=""/>
    <n v="0"/>
  </r>
  <r>
    <s v="TSK-0072"/>
    <x v="3"/>
    <x v="2"/>
    <s v="Rohan Iyer"/>
    <s v="Developer"/>
    <x v="0"/>
    <s v="Documentation"/>
    <x v="2"/>
    <d v="2024-06-29T00:00:00"/>
    <d v="2024-08-10T00:00:00"/>
    <s v=""/>
    <s v="2024-08"/>
    <s v="2024-06"/>
    <s v=""/>
    <n v="2024"/>
    <n v="6"/>
    <s v="June"/>
    <n v="0"/>
    <n v="56.5"/>
    <n v="0"/>
    <n v="-56.5"/>
    <n v="654"/>
    <n v="612"/>
    <n v="0"/>
    <n v="654"/>
    <b v="0"/>
    <n v="0"/>
    <b v="1"/>
    <n v="1"/>
    <b v="1"/>
    <n v="1"/>
    <b v="1"/>
    <n v="1"/>
    <b v="1"/>
    <n v="1"/>
    <b v="1"/>
    <n v="1"/>
    <b v="0"/>
    <n v="0"/>
    <s v="N/A"/>
    <n v="0"/>
    <s v=""/>
    <n v="0"/>
  </r>
  <r>
    <s v="TSK-0073"/>
    <x v="2"/>
    <x v="1"/>
    <s v="Priya Patel"/>
    <s v="Manager"/>
    <x v="3"/>
    <s v="Review"/>
    <x v="2"/>
    <d v="2024-10-25T00:00:00"/>
    <d v="2024-11-17T00:00:00"/>
    <s v=""/>
    <s v="2024-11"/>
    <s v="2024-10"/>
    <s v=""/>
    <n v="2024"/>
    <n v="10"/>
    <s v="October"/>
    <n v="0"/>
    <n v="78.3"/>
    <s v=""/>
    <n v="0"/>
    <n v="536"/>
    <n v="513"/>
    <n v="0"/>
    <n v="536"/>
    <b v="0"/>
    <n v="0"/>
    <b v="1"/>
    <n v="1"/>
    <b v="1"/>
    <n v="1"/>
    <b v="1"/>
    <n v="1"/>
    <b v="0"/>
    <n v="0"/>
    <b v="0"/>
    <n v="0"/>
    <b v="0"/>
    <n v="0"/>
    <s v="N/A"/>
    <n v="0"/>
    <s v=""/>
    <n v="0"/>
  </r>
  <r>
    <s v="TSK-0074"/>
    <x v="8"/>
    <x v="0"/>
    <s v="Karan Malhotra"/>
    <s v="Lead"/>
    <x v="2"/>
    <s v="Planning"/>
    <x v="3"/>
    <d v="2025-02-05T00:00:00"/>
    <d v="2025-04-02T00:00:00"/>
    <s v=""/>
    <s v="2025-04"/>
    <s v="2025-02"/>
    <s v=""/>
    <n v="2025"/>
    <n v="2"/>
    <s v="February"/>
    <n v="0.71"/>
    <n v="52.4"/>
    <n v="32.6"/>
    <n v="-19.799999999999997"/>
    <n v="433"/>
    <n v="377"/>
    <n v="0"/>
    <n v="433"/>
    <b v="0"/>
    <n v="0"/>
    <b v="1"/>
    <n v="1"/>
    <b v="1"/>
    <n v="1"/>
    <b v="1"/>
    <n v="1"/>
    <b v="1"/>
    <n v="1"/>
    <b v="1"/>
    <n v="1"/>
    <b v="1"/>
    <n v="1"/>
    <s v="On Track"/>
    <n v="1"/>
    <s v=""/>
    <n v="0"/>
  </r>
  <r>
    <s v="TSK-0075"/>
    <x v="0"/>
    <x v="0"/>
    <s v="Vikram Singh"/>
    <s v="Coordinator"/>
    <x v="0"/>
    <s v="Review"/>
    <x v="0"/>
    <d v="2025-01-13T00:00:00"/>
    <d v="2025-01-26T00:00:00"/>
    <d v="2025-01-25T00:00:00"/>
    <s v="2025-01"/>
    <s v="2025-01"/>
    <s v="2025-01"/>
    <n v="2025"/>
    <n v="1"/>
    <s v="January"/>
    <n v="1"/>
    <n v="60.8"/>
    <n v="52.8"/>
    <n v="-8"/>
    <n v="0"/>
    <n v="0"/>
    <n v="12"/>
    <n v="12"/>
    <b v="1"/>
    <n v="1"/>
    <b v="0"/>
    <n v="0"/>
    <b v="0"/>
    <n v="0"/>
    <b v="0"/>
    <n v="0"/>
    <b v="0"/>
    <n v="0"/>
    <b v="0"/>
    <n v="0"/>
    <b v="0"/>
    <n v="0"/>
    <s v="Healthy"/>
    <n v="1"/>
    <b v="1"/>
    <n v="1"/>
  </r>
  <r>
    <s v="TSK-0076"/>
    <x v="7"/>
    <x v="1"/>
    <s v="Karan Malhotra"/>
    <s v="Manager"/>
    <x v="2"/>
    <s v="Design"/>
    <x v="4"/>
    <d v="2024-05-15T00:00:00"/>
    <d v="2024-07-11T00:00:00"/>
    <s v=""/>
    <s v="2024-07"/>
    <s v="2024-05"/>
    <s v=""/>
    <n v="2024"/>
    <n v="5"/>
    <s v="May"/>
    <n v="0"/>
    <n v="60.7"/>
    <n v="0"/>
    <n v="-60.7"/>
    <n v="0"/>
    <n v="0"/>
    <n v="0"/>
    <n v="699"/>
    <b v="0"/>
    <n v="0"/>
    <b v="0"/>
    <n v="0"/>
    <b v="0"/>
    <n v="0"/>
    <b v="0"/>
    <n v="0"/>
    <b v="0"/>
    <n v="0"/>
    <b v="0"/>
    <n v="0"/>
    <b v="0"/>
    <n v="0"/>
    <s v="N/A"/>
    <n v="0"/>
    <s v=""/>
    <n v="0"/>
  </r>
  <r>
    <s v="TSK-0077"/>
    <x v="0"/>
    <x v="3"/>
    <s v="Sanjay Kulkarni"/>
    <s v="Manager"/>
    <x v="2"/>
    <s v="Review"/>
    <x v="0"/>
    <d v="2024-10-16T00:00:00"/>
    <d v="2024-11-13T00:00:00"/>
    <d v="2024-11-28T00:00:00"/>
    <s v="2024-11"/>
    <s v="2024-10"/>
    <s v="2024-11"/>
    <n v="2024"/>
    <n v="10"/>
    <s v="October"/>
    <n v="1"/>
    <n v="5.0999999999999996"/>
    <n v="11.6"/>
    <n v="6.5"/>
    <n v="0"/>
    <n v="15"/>
    <n v="43"/>
    <n v="43"/>
    <b v="1"/>
    <n v="1"/>
    <b v="0"/>
    <n v="0"/>
    <b v="0"/>
    <n v="0"/>
    <b v="0"/>
    <n v="0"/>
    <b v="0"/>
    <n v="0"/>
    <b v="0"/>
    <n v="0"/>
    <b v="0"/>
    <n v="0"/>
    <s v="Over Budget"/>
    <n v="0"/>
    <b v="0"/>
    <n v="0"/>
  </r>
  <r>
    <s v="TSK-0078"/>
    <x v="5"/>
    <x v="4"/>
    <s v="Meera Thakur"/>
    <s v="Tester"/>
    <x v="0"/>
    <s v="Research"/>
    <x v="2"/>
    <d v="2024-09-02T00:00:00"/>
    <d v="2024-09-08T00:00:00"/>
    <s v=""/>
    <s v="2024-09"/>
    <s v="2024-09"/>
    <s v=""/>
    <n v="2024"/>
    <n v="9"/>
    <s v="September"/>
    <n v="0"/>
    <n v="20.8"/>
    <s v=""/>
    <n v="0"/>
    <n v="589"/>
    <n v="583"/>
    <n v="0"/>
    <n v="589"/>
    <b v="0"/>
    <n v="0"/>
    <b v="1"/>
    <n v="1"/>
    <b v="1"/>
    <n v="1"/>
    <b v="1"/>
    <n v="1"/>
    <b v="1"/>
    <n v="1"/>
    <b v="1"/>
    <n v="1"/>
    <b v="0"/>
    <n v="0"/>
    <s v="N/A"/>
    <n v="0"/>
    <s v=""/>
    <n v="0"/>
  </r>
  <r>
    <s v="TSK-0079"/>
    <x v="4"/>
    <x v="4"/>
    <s v="Priya Patel"/>
    <s v="Developer"/>
    <x v="0"/>
    <s v="Development"/>
    <x v="0"/>
    <d v="2024-06-08T00:00:00"/>
    <d v="2024-07-14T00:00:00"/>
    <d v="2024-07-07T00:00:00"/>
    <s v="2024-07"/>
    <s v="2024-06"/>
    <s v="2024-07"/>
    <n v="2024"/>
    <n v="6"/>
    <s v="June"/>
    <n v="1"/>
    <n v="71.400000000000006"/>
    <n v="61.8"/>
    <n v="-9.6000000000000085"/>
    <n v="0"/>
    <n v="0"/>
    <n v="29"/>
    <n v="29"/>
    <b v="1"/>
    <n v="1"/>
    <b v="0"/>
    <n v="0"/>
    <b v="0"/>
    <n v="0"/>
    <b v="0"/>
    <n v="0"/>
    <b v="0"/>
    <n v="0"/>
    <b v="0"/>
    <n v="0"/>
    <b v="0"/>
    <n v="0"/>
    <s v="Healthy"/>
    <n v="1"/>
    <b v="1"/>
    <n v="1"/>
  </r>
  <r>
    <s v="TSK-0080"/>
    <x v="2"/>
    <x v="3"/>
    <s v="Karan Malhotra"/>
    <s v="Coordinator"/>
    <x v="1"/>
    <s v="Testing"/>
    <x v="1"/>
    <d v="2024-09-11T00:00:00"/>
    <d v="2024-10-25T00:00:00"/>
    <s v=""/>
    <s v="2024-10"/>
    <s v="2024-09"/>
    <s v=""/>
    <n v="2024"/>
    <n v="9"/>
    <s v="September"/>
    <n v="0.22"/>
    <n v="56.5"/>
    <s v=""/>
    <n v="0"/>
    <n v="580"/>
    <n v="536"/>
    <n v="0"/>
    <n v="580"/>
    <b v="0"/>
    <n v="0"/>
    <b v="1"/>
    <n v="1"/>
    <b v="1"/>
    <n v="1"/>
    <b v="1"/>
    <n v="1"/>
    <b v="0"/>
    <n v="0"/>
    <b v="0"/>
    <n v="0"/>
    <b v="0"/>
    <n v="0"/>
    <s v="N/A"/>
    <n v="0"/>
    <s v=""/>
    <n v="0"/>
  </r>
  <r>
    <s v="TSK-0081"/>
    <x v="1"/>
    <x v="4"/>
    <s v="Priya Patel"/>
    <s v="Tester"/>
    <x v="1"/>
    <s v="Review"/>
    <x v="2"/>
    <d v="2024-02-05T00:00:00"/>
    <d v="2024-03-06T00:00:00"/>
    <s v=""/>
    <s v="2024-03"/>
    <s v="2024-02"/>
    <s v=""/>
    <n v="2024"/>
    <n v="2"/>
    <s v="February"/>
    <n v="0"/>
    <n v="77.599999999999994"/>
    <n v="0"/>
    <n v="-77.599999999999994"/>
    <n v="799"/>
    <n v="769"/>
    <n v="0"/>
    <n v="799"/>
    <b v="0"/>
    <n v="0"/>
    <b v="1"/>
    <n v="1"/>
    <b v="1"/>
    <n v="1"/>
    <b v="1"/>
    <n v="1"/>
    <b v="0"/>
    <n v="0"/>
    <b v="0"/>
    <n v="0"/>
    <b v="0"/>
    <n v="0"/>
    <s v="N/A"/>
    <n v="0"/>
    <s v=""/>
    <n v="0"/>
  </r>
  <r>
    <s v="TSK-0082"/>
    <x v="5"/>
    <x v="0"/>
    <s v="Rahul Sharma"/>
    <s v="Designer"/>
    <x v="0"/>
    <s v="Testing"/>
    <x v="0"/>
    <d v="2024-10-20T00:00:00"/>
    <d v="2024-11-07T00:00:00"/>
    <d v="2024-11-21T00:00:00"/>
    <s v="2024-11"/>
    <s v="2024-10"/>
    <s v="2024-11"/>
    <n v="2024"/>
    <n v="10"/>
    <s v="October"/>
    <n v="1"/>
    <n v="19.7"/>
    <n v="13.3"/>
    <n v="-6.3999999999999986"/>
    <n v="0"/>
    <n v="14"/>
    <n v="32"/>
    <n v="32"/>
    <b v="1"/>
    <n v="1"/>
    <b v="0"/>
    <n v="0"/>
    <b v="0"/>
    <n v="0"/>
    <b v="0"/>
    <n v="0"/>
    <b v="0"/>
    <n v="0"/>
    <b v="0"/>
    <n v="0"/>
    <b v="0"/>
    <n v="0"/>
    <s v="Healthy"/>
    <n v="1"/>
    <b v="0"/>
    <n v="0"/>
  </r>
  <r>
    <s v="TSK-0083"/>
    <x v="5"/>
    <x v="0"/>
    <s v="Vikram Singh"/>
    <s v="Developer"/>
    <x v="0"/>
    <s v="Research"/>
    <x v="0"/>
    <d v="2024-04-03T00:00:00"/>
    <d v="2024-04-15T00:00:00"/>
    <d v="2024-04-09T00:00:00"/>
    <s v="2024-04"/>
    <s v="2024-04"/>
    <s v="2024-04"/>
    <n v="2024"/>
    <n v="4"/>
    <s v="April"/>
    <n v="1"/>
    <n v="31.2"/>
    <n v="47.7"/>
    <n v="16.500000000000004"/>
    <n v="0"/>
    <n v="0"/>
    <n v="6"/>
    <n v="6"/>
    <b v="1"/>
    <n v="1"/>
    <b v="0"/>
    <n v="0"/>
    <b v="0"/>
    <n v="0"/>
    <b v="0"/>
    <n v="0"/>
    <b v="0"/>
    <n v="0"/>
    <b v="0"/>
    <n v="0"/>
    <b v="0"/>
    <n v="0"/>
    <s v="Over Budget"/>
    <n v="0"/>
    <b v="1"/>
    <n v="1"/>
  </r>
  <r>
    <s v="TSK-0084"/>
    <x v="6"/>
    <x v="2"/>
    <s v="Rahul Sharma"/>
    <s v="Developer"/>
    <x v="1"/>
    <s v="Documentation"/>
    <x v="0"/>
    <d v="2024-09-30T00:00:00"/>
    <d v="2024-10-12T00:00:00"/>
    <d v="2024-10-17T00:00:00"/>
    <s v="2024-10"/>
    <s v="2024-09"/>
    <s v="2024-10"/>
    <n v="2024"/>
    <n v="9"/>
    <s v="September"/>
    <n v="1"/>
    <n v="63.1"/>
    <n v="68.599999999999994"/>
    <n v="5.4999999999999929"/>
    <n v="0"/>
    <n v="5"/>
    <n v="17"/>
    <n v="17"/>
    <b v="1"/>
    <n v="1"/>
    <b v="0"/>
    <n v="0"/>
    <b v="0"/>
    <n v="0"/>
    <b v="0"/>
    <n v="0"/>
    <b v="0"/>
    <n v="0"/>
    <b v="0"/>
    <n v="0"/>
    <b v="0"/>
    <n v="0"/>
    <s v="Healthy"/>
    <n v="1"/>
    <b v="0"/>
    <n v="0"/>
  </r>
  <r>
    <s v="TSK-0085"/>
    <x v="1"/>
    <x v="0"/>
    <s v="Pooja Reddy"/>
    <s v="Lead"/>
    <x v="3"/>
    <s v="Documentation"/>
    <x v="0"/>
    <d v="2024-11-29T00:00:00"/>
    <d v="2024-12-05T00:00:00"/>
    <d v="2024-12-10T00:00:00"/>
    <s v="2024-12"/>
    <s v="2024-11"/>
    <s v="2024-12"/>
    <n v="2024"/>
    <n v="11"/>
    <s v="November"/>
    <n v="1"/>
    <n v="36.4"/>
    <n v="25.7"/>
    <n v="-10.7"/>
    <n v="0"/>
    <n v="5"/>
    <n v="11"/>
    <n v="11"/>
    <b v="1"/>
    <n v="1"/>
    <b v="0"/>
    <n v="0"/>
    <b v="0"/>
    <n v="0"/>
    <b v="0"/>
    <n v="0"/>
    <b v="0"/>
    <n v="0"/>
    <b v="0"/>
    <n v="0"/>
    <b v="0"/>
    <n v="0"/>
    <s v="Healthy"/>
    <n v="1"/>
    <b v="0"/>
    <n v="0"/>
  </r>
  <r>
    <s v="TSK-0086"/>
    <x v="0"/>
    <x v="2"/>
    <s v="Ananya Das"/>
    <s v="Developer"/>
    <x v="0"/>
    <s v="Testing"/>
    <x v="2"/>
    <d v="2024-05-24T00:00:00"/>
    <d v="2024-07-07T00:00:00"/>
    <s v=""/>
    <s v="2024-07"/>
    <s v="2024-05"/>
    <s v=""/>
    <n v="2024"/>
    <n v="5"/>
    <s v="May"/>
    <n v="0"/>
    <n v="79.599999999999994"/>
    <s v=""/>
    <n v="0"/>
    <n v="690"/>
    <n v="646"/>
    <n v="0"/>
    <n v="690"/>
    <b v="0"/>
    <n v="0"/>
    <b v="1"/>
    <n v="1"/>
    <b v="1"/>
    <n v="1"/>
    <b v="1"/>
    <n v="1"/>
    <b v="1"/>
    <n v="1"/>
    <b v="1"/>
    <n v="1"/>
    <b v="0"/>
    <n v="0"/>
    <s v="N/A"/>
    <n v="0"/>
    <s v=""/>
    <n v="0"/>
  </r>
  <r>
    <s v="TSK-0087"/>
    <x v="7"/>
    <x v="4"/>
    <s v="Priya Patel"/>
    <s v="Developer"/>
    <x v="2"/>
    <s v="Design"/>
    <x v="3"/>
    <d v="2024-08-12T00:00:00"/>
    <d v="2024-09-14T00:00:00"/>
    <s v=""/>
    <s v="2024-09"/>
    <s v="2024-08"/>
    <s v=""/>
    <n v="2024"/>
    <n v="8"/>
    <s v="August"/>
    <n v="0"/>
    <n v="35.6"/>
    <s v=""/>
    <n v="0"/>
    <n v="610"/>
    <n v="577"/>
    <n v="0"/>
    <n v="610"/>
    <b v="0"/>
    <n v="0"/>
    <b v="1"/>
    <n v="1"/>
    <b v="1"/>
    <n v="1"/>
    <b v="1"/>
    <n v="1"/>
    <b v="1"/>
    <n v="1"/>
    <b v="1"/>
    <n v="1"/>
    <b v="1"/>
    <n v="1"/>
    <s v="N/A"/>
    <n v="0"/>
    <s v=""/>
    <n v="0"/>
  </r>
  <r>
    <s v="TSK-0088"/>
    <x v="4"/>
    <x v="4"/>
    <s v="Amit Verma"/>
    <s v="Lead"/>
    <x v="0"/>
    <s v="Development"/>
    <x v="1"/>
    <d v="2024-02-17T00:00:00"/>
    <d v="2024-02-27T00:00:00"/>
    <s v=""/>
    <s v="2024-02"/>
    <s v="2024-02"/>
    <s v=""/>
    <n v="2024"/>
    <n v="2"/>
    <s v="February"/>
    <n v="0"/>
    <n v="60.1"/>
    <s v=""/>
    <n v="0"/>
    <n v="787"/>
    <n v="777"/>
    <n v="0"/>
    <n v="787"/>
    <b v="0"/>
    <n v="0"/>
    <b v="1"/>
    <n v="1"/>
    <b v="1"/>
    <n v="1"/>
    <b v="1"/>
    <n v="1"/>
    <b v="1"/>
    <n v="1"/>
    <b v="1"/>
    <n v="1"/>
    <b v="0"/>
    <n v="0"/>
    <s v="N/A"/>
    <n v="0"/>
    <s v=""/>
    <n v="0"/>
  </r>
  <r>
    <s v="TSK-0089"/>
    <x v="5"/>
    <x v="2"/>
    <s v="Rohan Iyer"/>
    <s v="Developer"/>
    <x v="3"/>
    <s v="Review"/>
    <x v="1"/>
    <d v="2024-12-10T00:00:00"/>
    <d v="2025-02-01T00:00:00"/>
    <s v=""/>
    <s v="2025-02"/>
    <s v="2024-12"/>
    <s v=""/>
    <n v="2024"/>
    <n v="12"/>
    <s v="December"/>
    <n v="0"/>
    <n v="49.6"/>
    <n v="0"/>
    <n v="-49.6"/>
    <n v="490"/>
    <n v="437"/>
    <n v="0"/>
    <n v="490"/>
    <b v="0"/>
    <n v="0"/>
    <b v="1"/>
    <n v="1"/>
    <b v="1"/>
    <n v="1"/>
    <b v="1"/>
    <n v="1"/>
    <b v="0"/>
    <n v="0"/>
    <b v="0"/>
    <n v="0"/>
    <b v="0"/>
    <n v="0"/>
    <s v="N/A"/>
    <n v="0"/>
    <s v=""/>
    <n v="0"/>
  </r>
  <r>
    <s v="TSK-0090"/>
    <x v="7"/>
    <x v="5"/>
    <s v="Amit Verma"/>
    <s v="Lead"/>
    <x v="0"/>
    <s v="Testing"/>
    <x v="2"/>
    <d v="2024-07-02T00:00:00"/>
    <d v="2024-08-30T00:00:00"/>
    <s v=""/>
    <s v="2024-08"/>
    <s v="2024-07"/>
    <s v=""/>
    <n v="2024"/>
    <n v="7"/>
    <s v="July"/>
    <n v="0"/>
    <n v="62"/>
    <s v=""/>
    <n v="0"/>
    <n v="651"/>
    <n v="592"/>
    <n v="0"/>
    <n v="651"/>
    <b v="0"/>
    <n v="0"/>
    <b v="1"/>
    <n v="1"/>
    <b v="1"/>
    <n v="1"/>
    <b v="1"/>
    <n v="1"/>
    <b v="1"/>
    <n v="1"/>
    <b v="1"/>
    <n v="1"/>
    <b v="0"/>
    <n v="0"/>
    <s v="N/A"/>
    <n v="0"/>
    <s v=""/>
    <n v="0"/>
  </r>
  <r>
    <s v="TSK-0091"/>
    <x v="7"/>
    <x v="0"/>
    <s v="Ananya Das"/>
    <s v="Manager"/>
    <x v="0"/>
    <s v="Design"/>
    <x v="2"/>
    <d v="2024-05-23T00:00:00"/>
    <d v="2024-07-11T00:00:00"/>
    <s v=""/>
    <s v="2024-07"/>
    <s v="2024-05"/>
    <s v=""/>
    <n v="2024"/>
    <n v="5"/>
    <s v="May"/>
    <n v="0"/>
    <n v="30.7"/>
    <s v=""/>
    <n v="0"/>
    <n v="691"/>
    <n v="642"/>
    <n v="0"/>
    <n v="691"/>
    <b v="0"/>
    <n v="0"/>
    <b v="1"/>
    <n v="1"/>
    <b v="1"/>
    <n v="1"/>
    <b v="1"/>
    <n v="1"/>
    <b v="1"/>
    <n v="1"/>
    <b v="1"/>
    <n v="1"/>
    <b v="0"/>
    <n v="0"/>
    <s v="N/A"/>
    <n v="0"/>
    <s v=""/>
    <n v="0"/>
  </r>
  <r>
    <s v="TSK-0092"/>
    <x v="2"/>
    <x v="0"/>
    <s v="Amit Verma"/>
    <s v="Analyst"/>
    <x v="0"/>
    <s v="Deployment"/>
    <x v="1"/>
    <d v="2024-04-24T00:00:00"/>
    <d v="2024-05-23T00:00:00"/>
    <s v=""/>
    <s v="2024-05"/>
    <s v="2024-04"/>
    <s v=""/>
    <n v="2024"/>
    <n v="4"/>
    <s v="April"/>
    <n v="0"/>
    <n v="16"/>
    <n v="0"/>
    <n v="-16"/>
    <n v="720"/>
    <n v="691"/>
    <n v="0"/>
    <n v="720"/>
    <b v="0"/>
    <n v="0"/>
    <b v="1"/>
    <n v="1"/>
    <b v="1"/>
    <n v="1"/>
    <b v="1"/>
    <n v="1"/>
    <b v="1"/>
    <n v="1"/>
    <b v="1"/>
    <n v="1"/>
    <b v="0"/>
    <n v="0"/>
    <s v="N/A"/>
    <n v="0"/>
    <s v=""/>
    <n v="0"/>
  </r>
  <r>
    <s v="TSK-0093"/>
    <x v="5"/>
    <x v="0"/>
    <s v="Karan Malhotra"/>
    <s v="Analyst"/>
    <x v="0"/>
    <s v="Design"/>
    <x v="0"/>
    <d v="2025-01-25T00:00:00"/>
    <d v="2025-03-10T00:00:00"/>
    <d v="2025-03-21T00:00:00"/>
    <s v="2025-03"/>
    <s v="2025-01"/>
    <s v="2025-03"/>
    <n v="2025"/>
    <n v="1"/>
    <s v="January"/>
    <n v="1"/>
    <n v="24.7"/>
    <n v="36.200000000000003"/>
    <n v="11.500000000000004"/>
    <n v="0"/>
    <n v="11"/>
    <n v="55"/>
    <n v="55"/>
    <b v="1"/>
    <n v="1"/>
    <b v="0"/>
    <n v="0"/>
    <b v="0"/>
    <n v="0"/>
    <b v="0"/>
    <n v="0"/>
    <b v="0"/>
    <n v="0"/>
    <b v="0"/>
    <n v="0"/>
    <b v="0"/>
    <n v="0"/>
    <s v="Over Budget"/>
    <n v="0"/>
    <b v="0"/>
    <n v="0"/>
  </r>
  <r>
    <s v="TSK-0094"/>
    <x v="2"/>
    <x v="2"/>
    <s v="Sneha Gupta"/>
    <s v="Lead"/>
    <x v="0"/>
    <s v="Review"/>
    <x v="2"/>
    <d v="2024-08-12T00:00:00"/>
    <d v="2024-08-24T00:00:00"/>
    <s v=""/>
    <s v="2024-08"/>
    <s v="2024-08"/>
    <s v=""/>
    <n v="2024"/>
    <n v="8"/>
    <s v="August"/>
    <n v="0"/>
    <n v="41"/>
    <s v=""/>
    <n v="0"/>
    <n v="610"/>
    <n v="598"/>
    <n v="0"/>
    <n v="610"/>
    <b v="0"/>
    <n v="0"/>
    <b v="1"/>
    <n v="1"/>
    <b v="1"/>
    <n v="1"/>
    <b v="1"/>
    <n v="1"/>
    <b v="1"/>
    <n v="1"/>
    <b v="1"/>
    <n v="1"/>
    <b v="0"/>
    <n v="0"/>
    <s v="N/A"/>
    <n v="0"/>
    <s v=""/>
    <n v="0"/>
  </r>
  <r>
    <s v="TSK-0095"/>
    <x v="1"/>
    <x v="4"/>
    <s v="Ananya Das"/>
    <s v="Analyst"/>
    <x v="0"/>
    <s v="Design"/>
    <x v="3"/>
    <d v="2024-06-07T00:00:00"/>
    <d v="2024-06-25T00:00:00"/>
    <s v=""/>
    <s v="2024-06"/>
    <s v="2024-06"/>
    <s v=""/>
    <n v="2024"/>
    <n v="6"/>
    <s v="June"/>
    <n v="0.42"/>
    <n v="4.5999999999999996"/>
    <n v="2.4"/>
    <n v="-2.1999999999999997"/>
    <n v="676"/>
    <n v="658"/>
    <n v="0"/>
    <n v="676"/>
    <b v="0"/>
    <n v="0"/>
    <b v="1"/>
    <n v="1"/>
    <b v="1"/>
    <n v="1"/>
    <b v="1"/>
    <n v="1"/>
    <b v="1"/>
    <n v="1"/>
    <b v="1"/>
    <n v="1"/>
    <b v="1"/>
    <n v="1"/>
    <s v="Slow"/>
    <n v="0"/>
    <s v=""/>
    <n v="0"/>
  </r>
  <r>
    <s v="TSK-0096"/>
    <x v="1"/>
    <x v="1"/>
    <s v="Deepak Nair"/>
    <s v="Tester"/>
    <x v="0"/>
    <s v="Review"/>
    <x v="1"/>
    <d v="2025-01-18T00:00:00"/>
    <d v="2025-01-25T00:00:00"/>
    <s v=""/>
    <s v="2025-01"/>
    <s v="2025-01"/>
    <s v=""/>
    <n v="2025"/>
    <n v="1"/>
    <s v="January"/>
    <n v="0"/>
    <n v="74"/>
    <n v="0"/>
    <n v="-74"/>
    <n v="451"/>
    <n v="444"/>
    <n v="0"/>
    <n v="451"/>
    <b v="0"/>
    <n v="0"/>
    <b v="1"/>
    <n v="1"/>
    <b v="1"/>
    <n v="1"/>
    <b v="1"/>
    <n v="1"/>
    <b v="1"/>
    <n v="1"/>
    <b v="1"/>
    <n v="1"/>
    <b v="0"/>
    <n v="0"/>
    <s v="N/A"/>
    <n v="0"/>
    <s v=""/>
    <n v="0"/>
  </r>
  <r>
    <s v="TSK-0097"/>
    <x v="5"/>
    <x v="4"/>
    <s v="Pooja Reddy"/>
    <s v="Coordinator"/>
    <x v="3"/>
    <s v="Testing"/>
    <x v="2"/>
    <d v="2024-07-30T00:00:00"/>
    <d v="2024-08-05T00:00:00"/>
    <s v=""/>
    <s v="2024-08"/>
    <s v="2024-07"/>
    <s v=""/>
    <n v="2024"/>
    <n v="7"/>
    <s v="July"/>
    <n v="0"/>
    <n v="64.900000000000006"/>
    <s v=""/>
    <n v="0"/>
    <n v="623"/>
    <n v="617"/>
    <n v="0"/>
    <n v="623"/>
    <b v="0"/>
    <n v="0"/>
    <b v="1"/>
    <n v="1"/>
    <b v="1"/>
    <n v="1"/>
    <b v="1"/>
    <n v="1"/>
    <b v="0"/>
    <n v="0"/>
    <b v="0"/>
    <n v="0"/>
    <b v="0"/>
    <n v="0"/>
    <s v="N/A"/>
    <n v="0"/>
    <s v=""/>
    <n v="0"/>
  </r>
  <r>
    <s v="TSK-0098"/>
    <x v="0"/>
    <x v="4"/>
    <s v="Meera Thakur"/>
    <s v="Developer"/>
    <x v="0"/>
    <s v="Documentation"/>
    <x v="4"/>
    <d v="2024-11-01T00:00:00"/>
    <d v="2024-12-01T00:00:00"/>
    <s v=""/>
    <s v="2024-12"/>
    <s v="2024-11"/>
    <s v=""/>
    <n v="2024"/>
    <n v="11"/>
    <s v="November"/>
    <n v="0"/>
    <n v="34.1"/>
    <n v="0"/>
    <n v="-34.1"/>
    <n v="0"/>
    <n v="0"/>
    <n v="0"/>
    <n v="529"/>
    <b v="0"/>
    <n v="0"/>
    <b v="0"/>
    <n v="0"/>
    <b v="0"/>
    <n v="0"/>
    <b v="0"/>
    <n v="0"/>
    <b v="0"/>
    <n v="0"/>
    <b v="0"/>
    <n v="0"/>
    <b v="0"/>
    <n v="0"/>
    <s v="N/A"/>
    <n v="0"/>
    <s v=""/>
    <n v="0"/>
  </r>
  <r>
    <s v="TSK-0099"/>
    <x v="1"/>
    <x v="2"/>
    <s v="Sanjay Kulkarni"/>
    <s v="Developer"/>
    <x v="0"/>
    <s v="Deployment"/>
    <x v="4"/>
    <d v="2024-11-24T00:00:00"/>
    <d v="2024-12-06T00:00:00"/>
    <s v=""/>
    <s v="2024-12"/>
    <s v="2024-11"/>
    <s v=""/>
    <n v="2024"/>
    <n v="11"/>
    <s v="November"/>
    <n v="0"/>
    <n v="18.7"/>
    <n v="0"/>
    <n v="-18.7"/>
    <n v="0"/>
    <n v="0"/>
    <n v="0"/>
    <n v="506"/>
    <b v="0"/>
    <n v="0"/>
    <b v="0"/>
    <n v="0"/>
    <b v="0"/>
    <n v="0"/>
    <b v="0"/>
    <n v="0"/>
    <b v="0"/>
    <n v="0"/>
    <b v="0"/>
    <n v="0"/>
    <b v="0"/>
    <n v="0"/>
    <s v="N/A"/>
    <n v="0"/>
    <s v=""/>
    <n v="0"/>
  </r>
  <r>
    <s v="TSK-0100"/>
    <x v="1"/>
    <x v="3"/>
    <s v="Amit Verma"/>
    <s v="Manager"/>
    <x v="0"/>
    <s v="Design"/>
    <x v="0"/>
    <d v="2024-11-08T00:00:00"/>
    <d v="2024-11-22T00:00:00"/>
    <d v="2024-11-17T00:00:00"/>
    <s v="2024-11"/>
    <s v="2024-11"/>
    <s v="2024-11"/>
    <n v="2024"/>
    <n v="11"/>
    <s v="November"/>
    <n v="1"/>
    <n v="39.299999999999997"/>
    <n v="46.8"/>
    <n v="7.5"/>
    <n v="0"/>
    <n v="0"/>
    <n v="9"/>
    <n v="9"/>
    <b v="1"/>
    <n v="1"/>
    <b v="0"/>
    <n v="0"/>
    <b v="0"/>
    <n v="0"/>
    <b v="0"/>
    <n v="0"/>
    <b v="0"/>
    <n v="0"/>
    <b v="0"/>
    <n v="0"/>
    <b v="0"/>
    <n v="0"/>
    <s v="Healthy"/>
    <n v="1"/>
    <b v="1"/>
    <n v="1"/>
  </r>
  <r>
    <s v="TSK-0101"/>
    <x v="5"/>
    <x v="2"/>
    <s v="Meera Thakur"/>
    <s v="Designer"/>
    <x v="0"/>
    <s v="Documentation"/>
    <x v="1"/>
    <d v="2024-02-08T00:00:00"/>
    <d v="2024-03-14T00:00:00"/>
    <s v=""/>
    <s v="2024-03"/>
    <s v="2024-02"/>
    <s v=""/>
    <n v="2024"/>
    <n v="2"/>
    <s v="February"/>
    <n v="0"/>
    <n v="48.9"/>
    <n v="0"/>
    <n v="-48.9"/>
    <n v="796"/>
    <n v="761"/>
    <n v="0"/>
    <n v="796"/>
    <b v="0"/>
    <n v="0"/>
    <b v="1"/>
    <n v="1"/>
    <b v="1"/>
    <n v="1"/>
    <b v="1"/>
    <n v="1"/>
    <b v="1"/>
    <n v="1"/>
    <b v="1"/>
    <n v="1"/>
    <b v="0"/>
    <n v="0"/>
    <s v="N/A"/>
    <n v="0"/>
    <s v=""/>
    <n v="0"/>
  </r>
  <r>
    <s v="TSK-0102"/>
    <x v="4"/>
    <x v="1"/>
    <s v="Kavita Rao"/>
    <s v="Analyst"/>
    <x v="0"/>
    <s v="Review"/>
    <x v="0"/>
    <d v="2024-05-30T00:00:00"/>
    <d v="2024-06-08T00:00:00"/>
    <d v="2024-06-17T00:00:00"/>
    <s v="2024-06"/>
    <s v="2024-05"/>
    <s v="2024-06"/>
    <n v="2024"/>
    <n v="5"/>
    <s v="May"/>
    <n v="1"/>
    <n v="42.5"/>
    <n v="46"/>
    <n v="3.5"/>
    <n v="0"/>
    <n v="9"/>
    <n v="18"/>
    <n v="18"/>
    <b v="1"/>
    <n v="1"/>
    <b v="0"/>
    <n v="0"/>
    <b v="0"/>
    <n v="0"/>
    <b v="0"/>
    <n v="0"/>
    <b v="0"/>
    <n v="0"/>
    <b v="0"/>
    <n v="0"/>
    <b v="0"/>
    <n v="0"/>
    <s v="Healthy"/>
    <n v="1"/>
    <b v="0"/>
    <n v="0"/>
  </r>
  <r>
    <s v="TSK-0103"/>
    <x v="5"/>
    <x v="5"/>
    <s v="Neha Joshi"/>
    <s v="Lead"/>
    <x v="1"/>
    <s v="Testing"/>
    <x v="0"/>
    <d v="2024-02-05T00:00:00"/>
    <d v="2024-03-09T00:00:00"/>
    <d v="2024-03-24T00:00:00"/>
    <s v="2024-03"/>
    <s v="2024-02"/>
    <s v="2024-03"/>
    <n v="2024"/>
    <n v="2"/>
    <s v="February"/>
    <n v="1"/>
    <n v="78.7"/>
    <n v="67.099999999999994"/>
    <n v="-11.600000000000009"/>
    <n v="0"/>
    <n v="15"/>
    <n v="48"/>
    <n v="48"/>
    <b v="1"/>
    <n v="1"/>
    <b v="0"/>
    <n v="0"/>
    <b v="0"/>
    <n v="0"/>
    <b v="0"/>
    <n v="0"/>
    <b v="0"/>
    <n v="0"/>
    <b v="0"/>
    <n v="0"/>
    <b v="0"/>
    <n v="0"/>
    <s v="Healthy"/>
    <n v="1"/>
    <b v="0"/>
    <n v="0"/>
  </r>
  <r>
    <s v="TSK-0104"/>
    <x v="1"/>
    <x v="1"/>
    <s v="Kavita Rao"/>
    <s v="Lead"/>
    <x v="1"/>
    <s v="Design"/>
    <x v="2"/>
    <d v="2024-07-09T00:00:00"/>
    <d v="2024-08-06T00:00:00"/>
    <s v=""/>
    <s v="2024-08"/>
    <s v="2024-07"/>
    <s v=""/>
    <n v="2024"/>
    <n v="7"/>
    <s v="July"/>
    <n v="0"/>
    <n v="35.1"/>
    <n v="0"/>
    <n v="-35.1"/>
    <n v="644"/>
    <n v="616"/>
    <n v="0"/>
    <n v="644"/>
    <b v="0"/>
    <n v="0"/>
    <b v="1"/>
    <n v="1"/>
    <b v="1"/>
    <n v="1"/>
    <b v="1"/>
    <n v="1"/>
    <b v="0"/>
    <n v="0"/>
    <b v="0"/>
    <n v="0"/>
    <b v="0"/>
    <n v="0"/>
    <s v="N/A"/>
    <n v="0"/>
    <s v=""/>
    <n v="0"/>
  </r>
  <r>
    <s v="TSK-0105"/>
    <x v="8"/>
    <x v="2"/>
    <s v="Priya Patel"/>
    <s v="Designer"/>
    <x v="0"/>
    <s v="Review"/>
    <x v="3"/>
    <d v="2024-05-29T00:00:00"/>
    <d v="2024-06-19T00:00:00"/>
    <s v=""/>
    <s v="2024-06"/>
    <s v="2024-05"/>
    <s v=""/>
    <n v="2024"/>
    <n v="5"/>
    <s v="May"/>
    <n v="0.25"/>
    <n v="73.7"/>
    <n v="44.2"/>
    <n v="-29.5"/>
    <n v="685"/>
    <n v="664"/>
    <n v="0"/>
    <n v="685"/>
    <b v="0"/>
    <n v="0"/>
    <b v="1"/>
    <n v="1"/>
    <b v="1"/>
    <n v="1"/>
    <b v="1"/>
    <n v="1"/>
    <b v="1"/>
    <n v="1"/>
    <b v="1"/>
    <n v="1"/>
    <b v="1"/>
    <n v="1"/>
    <s v="Slow"/>
    <n v="0"/>
    <s v=""/>
    <n v="0"/>
  </r>
  <r>
    <s v="TSK-0106"/>
    <x v="6"/>
    <x v="0"/>
    <s v="Vikram Singh"/>
    <s v="Tester"/>
    <x v="1"/>
    <s v="Planning"/>
    <x v="4"/>
    <d v="2024-03-10T00:00:00"/>
    <d v="2024-04-26T00:00:00"/>
    <s v=""/>
    <s v="2024-04"/>
    <s v="2024-03"/>
    <s v=""/>
    <n v="2024"/>
    <n v="3"/>
    <s v="March"/>
    <n v="0"/>
    <n v="53.1"/>
    <n v="0"/>
    <n v="-53.1"/>
    <n v="0"/>
    <n v="0"/>
    <n v="0"/>
    <n v="765"/>
    <b v="0"/>
    <n v="0"/>
    <b v="0"/>
    <n v="0"/>
    <b v="0"/>
    <n v="0"/>
    <b v="0"/>
    <n v="0"/>
    <b v="0"/>
    <n v="0"/>
    <b v="0"/>
    <n v="0"/>
    <b v="0"/>
    <n v="0"/>
    <s v="N/A"/>
    <n v="0"/>
    <s v=""/>
    <n v="0"/>
  </r>
  <r>
    <s v="TSK-0107"/>
    <x v="8"/>
    <x v="4"/>
    <s v="Vikram Singh"/>
    <s v="Developer"/>
    <x v="0"/>
    <s v="Planning"/>
    <x v="3"/>
    <d v="2025-01-31T00:00:00"/>
    <d v="2025-03-08T00:00:00"/>
    <s v=""/>
    <s v="2025-03"/>
    <s v="2025-01"/>
    <s v=""/>
    <n v="2025"/>
    <n v="1"/>
    <s v="January"/>
    <n v="0.38"/>
    <n v="26.5"/>
    <n v="13.1"/>
    <n v="-13.4"/>
    <n v="438"/>
    <n v="402"/>
    <n v="0"/>
    <n v="438"/>
    <b v="0"/>
    <n v="0"/>
    <b v="1"/>
    <n v="1"/>
    <b v="1"/>
    <n v="1"/>
    <b v="1"/>
    <n v="1"/>
    <b v="1"/>
    <n v="1"/>
    <b v="1"/>
    <n v="1"/>
    <b v="1"/>
    <n v="1"/>
    <s v="Slow"/>
    <n v="0"/>
    <s v=""/>
    <n v="0"/>
  </r>
  <r>
    <s v="TSK-0108"/>
    <x v="8"/>
    <x v="2"/>
    <s v="Karan Malhotra"/>
    <s v="Developer"/>
    <x v="1"/>
    <s v="Review"/>
    <x v="3"/>
    <d v="2024-03-23T00:00:00"/>
    <d v="2024-04-07T00:00:00"/>
    <s v=""/>
    <s v="2024-04"/>
    <s v="2024-03"/>
    <s v=""/>
    <n v="2024"/>
    <n v="3"/>
    <s v="March"/>
    <n v="0"/>
    <n v="7.3"/>
    <n v="5.3"/>
    <n v="-2"/>
    <n v="752"/>
    <n v="737"/>
    <n v="0"/>
    <n v="752"/>
    <b v="0"/>
    <n v="0"/>
    <b v="1"/>
    <n v="1"/>
    <b v="1"/>
    <n v="1"/>
    <b v="1"/>
    <n v="1"/>
    <b v="0"/>
    <n v="0"/>
    <b v="0"/>
    <n v="0"/>
    <b v="1"/>
    <n v="1"/>
    <s v="N/A"/>
    <n v="0"/>
    <s v=""/>
    <n v="0"/>
  </r>
  <r>
    <s v="TSK-0109"/>
    <x v="4"/>
    <x v="1"/>
    <s v="Sneha Gupta"/>
    <s v="Manager"/>
    <x v="3"/>
    <s v="Deployment"/>
    <x v="1"/>
    <d v="2024-04-13T00:00:00"/>
    <d v="2024-05-11T00:00:00"/>
    <s v=""/>
    <s v="2024-05"/>
    <s v="2024-04"/>
    <s v=""/>
    <n v="2024"/>
    <n v="4"/>
    <s v="April"/>
    <n v="0"/>
    <n v="63.1"/>
    <s v=""/>
    <n v="0"/>
    <n v="731"/>
    <n v="703"/>
    <n v="0"/>
    <n v="731"/>
    <b v="0"/>
    <n v="0"/>
    <b v="1"/>
    <n v="1"/>
    <b v="1"/>
    <n v="1"/>
    <b v="1"/>
    <n v="1"/>
    <b v="0"/>
    <n v="0"/>
    <b v="0"/>
    <n v="0"/>
    <b v="0"/>
    <n v="0"/>
    <s v="N/A"/>
    <n v="0"/>
    <s v=""/>
    <n v="0"/>
  </r>
  <r>
    <s v="TSK-0110"/>
    <x v="6"/>
    <x v="5"/>
    <s v="Sanjay Kulkarni"/>
    <s v="Developer"/>
    <x v="2"/>
    <s v="Research"/>
    <x v="4"/>
    <d v="2024-01-31T00:00:00"/>
    <d v="2024-03-17T00:00:00"/>
    <s v=""/>
    <s v="2024-03"/>
    <s v="2024-01"/>
    <s v=""/>
    <n v="2024"/>
    <n v="1"/>
    <s v="January"/>
    <n v="0"/>
    <n v="46.1"/>
    <s v=""/>
    <n v="0"/>
    <n v="0"/>
    <n v="0"/>
    <n v="0"/>
    <n v="804"/>
    <b v="0"/>
    <n v="0"/>
    <b v="0"/>
    <n v="0"/>
    <b v="0"/>
    <n v="0"/>
    <b v="0"/>
    <n v="0"/>
    <b v="0"/>
    <n v="0"/>
    <b v="0"/>
    <n v="0"/>
    <b v="0"/>
    <n v="0"/>
    <s v="N/A"/>
    <n v="0"/>
    <s v=""/>
    <n v="0"/>
  </r>
  <r>
    <s v="TSK-0111"/>
    <x v="0"/>
    <x v="2"/>
    <s v="Priya Patel"/>
    <s v="Developer"/>
    <x v="3"/>
    <s v="Documentation"/>
    <x v="1"/>
    <d v="2024-09-23T00:00:00"/>
    <d v="2024-10-07T00:00:00"/>
    <s v=""/>
    <s v="2024-10"/>
    <s v="2024-09"/>
    <s v=""/>
    <n v="2024"/>
    <n v="9"/>
    <s v="September"/>
    <n v="0.1"/>
    <n v="66.099999999999994"/>
    <n v="0"/>
    <n v="-66.099999999999994"/>
    <n v="568"/>
    <n v="554"/>
    <n v="0"/>
    <n v="568"/>
    <b v="0"/>
    <n v="0"/>
    <b v="1"/>
    <n v="1"/>
    <b v="1"/>
    <n v="1"/>
    <b v="1"/>
    <n v="1"/>
    <b v="0"/>
    <n v="0"/>
    <b v="0"/>
    <n v="0"/>
    <b v="0"/>
    <n v="0"/>
    <s v="N/A"/>
    <n v="0"/>
    <s v=""/>
    <n v="0"/>
  </r>
  <r>
    <s v="TSK-0112"/>
    <x v="8"/>
    <x v="4"/>
    <s v="Deepak Nair"/>
    <s v="Tester"/>
    <x v="0"/>
    <s v="Review"/>
    <x v="3"/>
    <d v="2024-02-15T00:00:00"/>
    <d v="2024-03-14T00:00:00"/>
    <s v=""/>
    <s v="2024-03"/>
    <s v="2024-02"/>
    <s v=""/>
    <n v="2024"/>
    <n v="2"/>
    <s v="February"/>
    <n v="0.36"/>
    <n v="64.099999999999994"/>
    <s v=""/>
    <n v="0"/>
    <n v="789"/>
    <n v="761"/>
    <n v="0"/>
    <n v="789"/>
    <b v="0"/>
    <n v="0"/>
    <b v="1"/>
    <n v="1"/>
    <b v="1"/>
    <n v="1"/>
    <b v="1"/>
    <n v="1"/>
    <b v="1"/>
    <n v="1"/>
    <b v="1"/>
    <n v="1"/>
    <b v="1"/>
    <n v="1"/>
    <s v="Slow"/>
    <n v="0"/>
    <s v=""/>
    <n v="0"/>
  </r>
  <r>
    <s v="TSK-0113"/>
    <x v="6"/>
    <x v="1"/>
    <s v="Kavita Rao"/>
    <s v="Analyst"/>
    <x v="2"/>
    <s v="Development"/>
    <x v="3"/>
    <d v="2024-01-14T00:00:00"/>
    <d v="2024-02-04T00:00:00"/>
    <s v=""/>
    <s v="2024-02"/>
    <s v="2024-01"/>
    <s v=""/>
    <n v="2024"/>
    <n v="1"/>
    <s v="January"/>
    <n v="0"/>
    <n v="12.5"/>
    <s v=""/>
    <n v="0"/>
    <n v="821"/>
    <n v="800"/>
    <n v="0"/>
    <n v="821"/>
    <b v="0"/>
    <n v="0"/>
    <b v="1"/>
    <n v="1"/>
    <b v="1"/>
    <n v="1"/>
    <b v="1"/>
    <n v="1"/>
    <b v="1"/>
    <n v="1"/>
    <b v="1"/>
    <n v="1"/>
    <b v="1"/>
    <n v="1"/>
    <s v="N/A"/>
    <n v="0"/>
    <s v=""/>
    <n v="0"/>
  </r>
  <r>
    <s v="TSK-0114"/>
    <x v="8"/>
    <x v="5"/>
    <s v="Arjun Mehta"/>
    <s v="Coordinator"/>
    <x v="0"/>
    <s v="Testing"/>
    <x v="0"/>
    <d v="2024-09-16T00:00:00"/>
    <d v="2024-10-29T00:00:00"/>
    <d v="2024-11-08T00:00:00"/>
    <s v="2024-10"/>
    <s v="2024-09"/>
    <s v="2024-11"/>
    <n v="2024"/>
    <n v="9"/>
    <s v="September"/>
    <n v="1"/>
    <n v="47.7"/>
    <n v="61.4"/>
    <n v="13.699999999999996"/>
    <n v="0"/>
    <n v="10"/>
    <n v="53"/>
    <n v="53"/>
    <b v="1"/>
    <n v="1"/>
    <b v="0"/>
    <n v="0"/>
    <b v="0"/>
    <n v="0"/>
    <b v="0"/>
    <n v="0"/>
    <b v="0"/>
    <n v="0"/>
    <b v="0"/>
    <n v="0"/>
    <b v="0"/>
    <n v="0"/>
    <s v="Over Budget"/>
    <n v="0"/>
    <b v="0"/>
    <n v="0"/>
  </r>
  <r>
    <s v="TSK-0115"/>
    <x v="5"/>
    <x v="4"/>
    <s v="Sneha Gupta"/>
    <s v="Coordinator"/>
    <x v="0"/>
    <s v="Development"/>
    <x v="0"/>
    <d v="2024-09-29T00:00:00"/>
    <d v="2024-10-27T00:00:00"/>
    <d v="2024-11-02T00:00:00"/>
    <s v="2024-10"/>
    <s v="2024-09"/>
    <s v="2024-11"/>
    <n v="2024"/>
    <n v="9"/>
    <s v="September"/>
    <n v="1"/>
    <n v="42.6"/>
    <n v="67.099999999999994"/>
    <n v="24.499999999999993"/>
    <n v="0"/>
    <n v="6"/>
    <n v="34"/>
    <n v="34"/>
    <b v="1"/>
    <n v="1"/>
    <b v="0"/>
    <n v="0"/>
    <b v="0"/>
    <n v="0"/>
    <b v="0"/>
    <n v="0"/>
    <b v="0"/>
    <n v="0"/>
    <b v="0"/>
    <n v="0"/>
    <b v="0"/>
    <n v="0"/>
    <s v="Over Budget"/>
    <n v="0"/>
    <b v="0"/>
    <n v="0"/>
  </r>
  <r>
    <s v="TSK-0116"/>
    <x v="3"/>
    <x v="0"/>
    <s v="Rohan Iyer"/>
    <s v="Tester"/>
    <x v="3"/>
    <s v="Research"/>
    <x v="2"/>
    <d v="2025-01-21T00:00:00"/>
    <d v="2025-01-27T00:00:00"/>
    <s v=""/>
    <s v="2025-01"/>
    <s v="2025-01"/>
    <s v=""/>
    <n v="2025"/>
    <n v="1"/>
    <s v="January"/>
    <n v="0"/>
    <n v="30.2"/>
    <s v=""/>
    <n v="0"/>
    <n v="448"/>
    <n v="442"/>
    <n v="0"/>
    <n v="448"/>
    <b v="0"/>
    <n v="0"/>
    <b v="1"/>
    <n v="1"/>
    <b v="1"/>
    <n v="1"/>
    <b v="1"/>
    <n v="1"/>
    <b v="0"/>
    <n v="0"/>
    <b v="0"/>
    <n v="0"/>
    <b v="0"/>
    <n v="0"/>
    <s v="N/A"/>
    <n v="0"/>
    <s v=""/>
    <n v="0"/>
  </r>
  <r>
    <s v="TSK-0117"/>
    <x v="5"/>
    <x v="2"/>
    <s v="Amit Verma"/>
    <s v="Analyst"/>
    <x v="3"/>
    <s v="Planning"/>
    <x v="1"/>
    <d v="2024-11-29T00:00:00"/>
    <d v="2024-12-15T00:00:00"/>
    <s v=""/>
    <s v="2024-12"/>
    <s v="2024-11"/>
    <s v=""/>
    <n v="2024"/>
    <n v="11"/>
    <s v="November"/>
    <n v="0"/>
    <n v="17.899999999999999"/>
    <s v=""/>
    <n v="0"/>
    <n v="501"/>
    <n v="485"/>
    <n v="0"/>
    <n v="501"/>
    <b v="0"/>
    <n v="0"/>
    <b v="1"/>
    <n v="1"/>
    <b v="1"/>
    <n v="1"/>
    <b v="1"/>
    <n v="1"/>
    <b v="0"/>
    <n v="0"/>
    <b v="0"/>
    <n v="0"/>
    <b v="0"/>
    <n v="0"/>
    <s v="N/A"/>
    <n v="0"/>
    <s v=""/>
    <n v="0"/>
  </r>
  <r>
    <s v="TSK-0118"/>
    <x v="8"/>
    <x v="2"/>
    <s v="Sneha Gupta"/>
    <s v="Analyst"/>
    <x v="2"/>
    <s v="Design"/>
    <x v="2"/>
    <d v="2024-01-26T00:00:00"/>
    <d v="2024-02-20T00:00:00"/>
    <s v=""/>
    <s v="2024-02"/>
    <s v="2024-01"/>
    <s v=""/>
    <n v="2024"/>
    <n v="1"/>
    <s v="January"/>
    <n v="0"/>
    <n v="34.299999999999997"/>
    <s v=""/>
    <n v="0"/>
    <n v="809"/>
    <n v="784"/>
    <n v="0"/>
    <n v="809"/>
    <b v="0"/>
    <n v="0"/>
    <b v="1"/>
    <n v="1"/>
    <b v="1"/>
    <n v="1"/>
    <b v="1"/>
    <n v="1"/>
    <b v="1"/>
    <n v="1"/>
    <b v="1"/>
    <n v="1"/>
    <b v="0"/>
    <n v="0"/>
    <s v="N/A"/>
    <n v="0"/>
    <s v=""/>
    <n v="0"/>
  </r>
  <r>
    <s v="TSK-0119"/>
    <x v="8"/>
    <x v="5"/>
    <s v="Vikram Singh"/>
    <s v="Tester"/>
    <x v="2"/>
    <s v="Development"/>
    <x v="2"/>
    <d v="2024-12-05T00:00:00"/>
    <d v="2024-12-31T00:00:00"/>
    <s v=""/>
    <s v="2024-12"/>
    <s v="2024-12"/>
    <s v=""/>
    <n v="2024"/>
    <n v="12"/>
    <s v="December"/>
    <n v="0"/>
    <n v="64.8"/>
    <n v="0"/>
    <n v="-64.8"/>
    <n v="495"/>
    <n v="469"/>
    <n v="0"/>
    <n v="495"/>
    <b v="0"/>
    <n v="0"/>
    <b v="1"/>
    <n v="1"/>
    <b v="1"/>
    <n v="1"/>
    <b v="1"/>
    <n v="1"/>
    <b v="1"/>
    <n v="1"/>
    <b v="1"/>
    <n v="1"/>
    <b v="0"/>
    <n v="0"/>
    <s v="N/A"/>
    <n v="0"/>
    <s v=""/>
    <n v="0"/>
  </r>
  <r>
    <s v="TSK-0120"/>
    <x v="2"/>
    <x v="2"/>
    <s v="Amit Verma"/>
    <s v="Lead"/>
    <x v="1"/>
    <s v="Deployment"/>
    <x v="4"/>
    <d v="2024-07-11T00:00:00"/>
    <d v="2024-09-05T00:00:00"/>
    <s v=""/>
    <s v="2024-09"/>
    <s v="2024-07"/>
    <s v=""/>
    <n v="2024"/>
    <n v="7"/>
    <s v="July"/>
    <n v="0"/>
    <n v="64.900000000000006"/>
    <s v=""/>
    <n v="0"/>
    <n v="0"/>
    <n v="0"/>
    <n v="0"/>
    <n v="642"/>
    <b v="0"/>
    <n v="0"/>
    <b v="0"/>
    <n v="0"/>
    <b v="0"/>
    <n v="0"/>
    <b v="0"/>
    <n v="0"/>
    <b v="0"/>
    <n v="0"/>
    <b v="0"/>
    <n v="0"/>
    <b v="0"/>
    <n v="0"/>
    <s v="N/A"/>
    <n v="0"/>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93C026-4B3F-4F8B-8E0A-3A26722A075A}" name="PT_Project_Summar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G47" firstHeaderRow="1" firstDataRow="2" firstDataCol="1"/>
  <pivotFields count="43">
    <pivotField dataField="1" showAll="0"/>
    <pivotField axis="axisRow" showAll="0">
      <items count="11">
        <item x="6"/>
        <item x="0"/>
        <item x="3"/>
        <item x="4"/>
        <item x="9"/>
        <item x="2"/>
        <item x="5"/>
        <item x="1"/>
        <item x="7"/>
        <item x="8"/>
        <item t="default"/>
      </items>
    </pivotField>
    <pivotField showAll="0"/>
    <pivotField showAll="0"/>
    <pivotField showAll="0"/>
    <pivotField showAll="0"/>
    <pivotField showAll="0"/>
    <pivotField axis="axisCol" showAll="0">
      <items count="6">
        <item x="4"/>
        <item x="0"/>
        <item x="3"/>
        <item x="2"/>
        <item x="1"/>
        <item t="default"/>
      </items>
    </pivotField>
    <pivotField numFmtId="167" showAll="0"/>
    <pivotField numFmtId="167" showAll="0"/>
    <pivotField showAll="0"/>
    <pivotField showAll="0"/>
    <pivotField showAll="0"/>
    <pivotField showAll="0"/>
    <pivotField showAll="0"/>
    <pivotField showAll="0"/>
    <pivotField showAll="0"/>
    <pivotField numFmtId="9" showAll="0"/>
    <pivotField numFmtId="168" showAll="0"/>
    <pivotField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7"/>
  </colFields>
  <colItems count="6">
    <i>
      <x/>
    </i>
    <i>
      <x v="1"/>
    </i>
    <i>
      <x v="2"/>
    </i>
    <i>
      <x v="3"/>
    </i>
    <i>
      <x v="4"/>
    </i>
    <i t="grand">
      <x/>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6F08C-EEBB-4A19-A858-9E14A43F998E}" name="PT_Priorit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0" firstHeaderRow="1" firstDataRow="1" firstDataCol="1"/>
  <pivotFields count="43">
    <pivotField dataField="1" showAll="0"/>
    <pivotField showAll="0"/>
    <pivotField showAll="0"/>
    <pivotField showAll="0"/>
    <pivotField showAll="0"/>
    <pivotField axis="axisRow" showAll="0">
      <items count="5">
        <item x="2"/>
        <item x="0"/>
        <item x="1"/>
        <item x="3"/>
        <item t="default"/>
      </items>
    </pivotField>
    <pivotField showAll="0"/>
    <pivotField showAll="0"/>
    <pivotField numFmtId="167" showAll="0"/>
    <pivotField numFmtId="167" showAll="0"/>
    <pivotField showAll="0"/>
    <pivotField showAll="0"/>
    <pivotField showAll="0"/>
    <pivotField showAll="0"/>
    <pivotField showAll="0"/>
    <pivotField showAll="0"/>
    <pivotField showAll="0"/>
    <pivotField numFmtId="9" showAll="0"/>
    <pivotField numFmtId="168" showAll="0"/>
    <pivotField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831CDA-5BC9-4A2D-BC21-0D412644D65D}" name="PT_Dept_Statu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G20" firstHeaderRow="1" firstDataRow="2" firstDataCol="1"/>
  <pivotFields count="43">
    <pivotField dataField="1" showAll="0"/>
    <pivotField showAll="0"/>
    <pivotField axis="axisRow" showAll="0">
      <items count="7">
        <item x="3"/>
        <item x="2"/>
        <item x="0"/>
        <item x="5"/>
        <item x="4"/>
        <item x="1"/>
        <item t="default"/>
      </items>
    </pivotField>
    <pivotField showAll="0"/>
    <pivotField showAll="0"/>
    <pivotField showAll="0"/>
    <pivotField showAll="0"/>
    <pivotField axis="axisCol" showAll="0">
      <items count="6">
        <item x="4"/>
        <item x="0"/>
        <item x="3"/>
        <item x="2"/>
        <item x="1"/>
        <item t="default"/>
      </items>
    </pivotField>
    <pivotField numFmtId="167" showAll="0"/>
    <pivotField numFmtId="167" showAll="0"/>
    <pivotField showAll="0"/>
    <pivotField showAll="0"/>
    <pivotField showAll="0"/>
    <pivotField showAll="0"/>
    <pivotField showAll="0"/>
    <pivotField showAll="0"/>
    <pivotField showAll="0"/>
    <pivotField numFmtId="9" showAll="0"/>
    <pivotField numFmtId="168" showAll="0"/>
    <pivotField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7"/>
  </colFields>
  <colItems count="6">
    <i>
      <x/>
    </i>
    <i>
      <x v="1"/>
    </i>
    <i>
      <x v="2"/>
    </i>
    <i>
      <x v="3"/>
    </i>
    <i>
      <x v="4"/>
    </i>
    <i t="grand">
      <x/>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0ACD7A-8C9F-4595-A43D-FDBB772A8A8A}" name="PT_Tasks_By_Statu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43">
    <pivotField dataField="1" showAll="0"/>
    <pivotField showAll="0"/>
    <pivotField showAll="0"/>
    <pivotField showAll="0"/>
    <pivotField showAll="0"/>
    <pivotField showAll="0"/>
    <pivotField showAll="0"/>
    <pivotField axis="axisRow" showAll="0">
      <items count="6">
        <item x="4"/>
        <item x="0"/>
        <item x="3"/>
        <item x="2"/>
        <item x="1"/>
        <item t="default"/>
      </items>
    </pivotField>
    <pivotField numFmtId="167" showAll="0"/>
    <pivotField numFmtId="167" showAll="0"/>
    <pivotField showAll="0"/>
    <pivotField showAll="0"/>
    <pivotField showAll="0"/>
    <pivotField showAll="0"/>
    <pivotField showAll="0"/>
    <pivotField showAll="0"/>
    <pivotField showAll="0"/>
    <pivotField numFmtId="9" showAll="0"/>
    <pivotField numFmtId="168" showAll="0"/>
    <pivotField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 xr10:uid="{C9C0CA0E-56B4-4FBA-AD32-CEAFED634292}" sourceName="Task Status">
  <extLst>
    <x:ext xmlns:x15="http://schemas.microsoft.com/office/spreadsheetml/2010/11/main" uri="{2F2917AC-EB37-4324-AD4E-5DD8C200BD13}">
      <x15:tableSlicerCache tableId="3"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AE0C22F-56BF-4496-96B4-D09E6AE3732A}" sourceName="Priority">
  <extLst>
    <x:ext xmlns:x15="http://schemas.microsoft.com/office/spreadsheetml/2010/11/main" uri="{2F2917AC-EB37-4324-AD4E-5DD8C200BD13}">
      <x15:tableSlicerCache tableId="3"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CCB054B-D0DD-4198-A655-7D454038FB7F}" sourceName="Department">
  <extLst>
    <x:ext xmlns:x15="http://schemas.microsoft.com/office/spreadsheetml/2010/11/main" uri="{2F2917AC-EB37-4324-AD4E-5DD8C200BD13}">
      <x15:tableSlicerCache tableId="3"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ADDC3DC1-B8CE-4771-A5B5-414F7D963F84}" sourceName="Assigned To">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 Status" xr10:uid="{97EABED8-6103-460C-B266-63CC4BEC01F3}" cache="Slicer_Task_Status" caption="🔵 STATUS" rowHeight="234950"/>
  <slicer name="Priority" xr10:uid="{ED03EB57-692C-41AB-935D-F16640F7B1B0}" cache="Slicer_Priority" caption="🔴 PRIORITY" rowHeight="234950"/>
  <slicer name="Department" xr10:uid="{ADC51C10-EEB5-44F8-BCA7-CF8BBDE09463}" cache="Slicer_Department" caption="🟢 DEPARTMENT" rowHeight="234950"/>
  <slicer name="Assigned To" xr10:uid="{B06B1014-3BD6-4604-B523-1A6824EFD1FD}" cache="Slicer_Assigned_To" caption="🟡 ASSIGNED T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RawData" displayName="tblRawData" ref="A1:P121" totalsRowShown="0">
  <autoFilter ref="A1:P121" xr:uid="{00000000-0009-0000-0100-000004000000}"/>
  <tableColumns count="16">
    <tableColumn id="1" xr3:uid="{00000000-0010-0000-0000-000001000000}" name="Task ID"/>
    <tableColumn id="2" xr3:uid="{00000000-0010-0000-0000-000002000000}" name="Project Name"/>
    <tableColumn id="3" xr3:uid="{00000000-0010-0000-0000-000003000000}" name="Department"/>
    <tableColumn id="4" xr3:uid="{00000000-0010-0000-0000-000004000000}" name="Assigned To"/>
    <tableColumn id="5" xr3:uid="{00000000-0010-0000-0000-000005000000}" name="Role"/>
    <tableColumn id="6" xr3:uid="{00000000-0010-0000-0000-000006000000}" name="Priority"/>
    <tableColumn id="7" xr3:uid="{00000000-0010-0000-0000-000007000000}" name="Task Category"/>
    <tableColumn id="8" xr3:uid="{00000000-0010-0000-0000-000008000000}" name="Start Date"/>
    <tableColumn id="9" xr3:uid="{00000000-0010-0000-0000-000009000000}" name="Due Date"/>
    <tableColumn id="10" xr3:uid="{00000000-0010-0000-0000-00000A000000}" name="Completion Date"/>
    <tableColumn id="11" xr3:uid="{00000000-0010-0000-0000-00000B000000}" name="Task Status"/>
    <tableColumn id="12" xr3:uid="{00000000-0010-0000-0000-00000C000000}" name="Progress %"/>
    <tableColumn id="13" xr3:uid="{00000000-0010-0000-0000-00000D000000}" name="Estimated Hours"/>
    <tableColumn id="14" xr3:uid="{00000000-0010-0000-0000-00000E000000}" name="Actual Hours"/>
    <tableColumn id="15" xr3:uid="{00000000-0010-0000-0000-00000F000000}" name="Variance"/>
    <tableColumn id="16" xr3:uid="{00000000-0010-0000-0000-000010000000}" name="Remark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leanData" displayName="tblCleanData" ref="A1:P121" totalsRowShown="0" headerRowDxfId="11">
  <autoFilter ref="A1:P121" xr:uid="{00000000-0009-0000-0100-000002000000}"/>
  <tableColumns count="16">
    <tableColumn id="1" xr3:uid="{00000000-0010-0000-0100-000001000000}" name="Task ID"/>
    <tableColumn id="2" xr3:uid="{00000000-0010-0000-0100-000002000000}" name="Project Name"/>
    <tableColumn id="3" xr3:uid="{00000000-0010-0000-0100-000003000000}" name="Department"/>
    <tableColumn id="4" xr3:uid="{00000000-0010-0000-0100-000004000000}" name="Assigned To"/>
    <tableColumn id="5" xr3:uid="{00000000-0010-0000-0100-000005000000}" name="Role"/>
    <tableColumn id="6" xr3:uid="{00000000-0010-0000-0100-000006000000}" name="Priority"/>
    <tableColumn id="7" xr3:uid="{00000000-0010-0000-0100-000007000000}" name="Task Category"/>
    <tableColumn id="8" xr3:uid="{00000000-0010-0000-0100-000008000000}" name="Start Date" dataDxfId="6"/>
    <tableColumn id="9" xr3:uid="{00000000-0010-0000-0100-000009000000}" name="Due Date" dataDxfId="5"/>
    <tableColumn id="10" xr3:uid="{00000000-0010-0000-0100-00000A000000}" name="Completion Date" dataDxfId="4"/>
    <tableColumn id="11" xr3:uid="{00000000-0010-0000-0100-00000B000000}" name="Task Status"/>
    <tableColumn id="12" xr3:uid="{00000000-0010-0000-0100-00000C000000}" name="Progress %" dataDxfId="12"/>
    <tableColumn id="13" xr3:uid="{00000000-0010-0000-0100-00000D000000}" name="Estimated Hours"/>
    <tableColumn id="14" xr3:uid="{00000000-0010-0000-0100-00000E000000}" name="Actual Hours"/>
    <tableColumn id="15" xr3:uid="{00000000-0010-0000-0100-00000F000000}" name="Variance"/>
    <tableColumn id="16" xr3:uid="{00000000-0010-0000-0100-000010000000}" name="Remark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blCalcHelper" displayName="tblCalcHelper" ref="A1:U121" totalsRowShown="0">
  <autoFilter ref="A1:U121" xr:uid="{00000000-0009-0000-0100-000001000000}"/>
  <tableColumns count="21">
    <tableColumn id="1" xr3:uid="{00000000-0010-0000-0200-000001000000}" name="Task ID"/>
    <tableColumn id="2" xr3:uid="{00000000-0010-0000-0200-000002000000}" name="Is_Completed"/>
    <tableColumn id="3" xr3:uid="{00000000-0010-0000-0200-000003000000}" name="Is_Pending"/>
    <tableColumn id="4" xr3:uid="{00000000-0010-0000-0200-000004000000}" name="Is_Delayed"/>
    <tableColumn id="5" xr3:uid="{00000000-0010-0000-0200-000005000000}" name="Days_Open"/>
    <tableColumn id="6" xr3:uid="{00000000-0010-0000-0200-000006000000}" name="Delay_Days"/>
    <tableColumn id="7" xr3:uid="{00000000-0010-0000-0200-000007000000}" name="Cycle_Time_Days"/>
    <tableColumn id="8" xr3:uid="{00000000-0010-0000-0200-000008000000}" name="Lead_Time_Days"/>
    <tableColumn id="9" xr3:uid="{00000000-0010-0000-0200-000009000000}" name="Due_Month"/>
    <tableColumn id="10" xr3:uid="{00000000-0010-0000-0200-00000A000000}" name="Start_Month"/>
    <tableColumn id="11" xr3:uid="{00000000-0010-0000-0200-00000B000000}" name="Completion_Month"/>
    <tableColumn id="12" xr3:uid="{00000000-0010-0000-0200-00000C000000}" name="Year"/>
    <tableColumn id="13" xr3:uid="{00000000-0010-0000-0200-00000D000000}" name="Month_Number"/>
    <tableColumn id="14" xr3:uid="{00000000-0010-0000-0200-00000E000000}" name="Month_Name"/>
    <tableColumn id="15" xr3:uid="{00000000-0010-0000-0200-00000F000000}" name="Overdue_Flag"/>
    <tableColumn id="16" xr3:uid="{00000000-0010-0000-0200-000010000000}" name="High_Priority_Open_Flag"/>
    <tableColumn id="17" xr3:uid="{00000000-0010-0000-0200-000011000000}" name="SLA_Breach_Flag"/>
    <tableColumn id="18" xr3:uid="{00000000-0010-0000-0200-000012000000}" name="Stale_In_Progress_Flag"/>
    <tableColumn id="19" xr3:uid="{00000000-0010-0000-0200-000013000000}" name="Productivity_Flag"/>
    <tableColumn id="20" xr3:uid="{00000000-0010-0000-0200-000014000000}" name="On_Time_Flag"/>
    <tableColumn id="21" xr3:uid="{00000000-0010-0000-0200-000015000000}" name="Progress_Valid_Flag"/>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Workload" displayName="tblWorkload" ref="A1:O16" totalsRowShown="0" headerRowDxfId="10">
  <autoFilter ref="A1:O16" xr:uid="{00000000-0009-0000-0100-000005000000}"/>
  <tableColumns count="15">
    <tableColumn id="1" xr3:uid="{00000000-0010-0000-0300-000001000000}" name="Employee"/>
    <tableColumn id="2" xr3:uid="{00000000-0010-0000-0300-000002000000}" name="Assigned Tasks"/>
    <tableColumn id="3" xr3:uid="{00000000-0010-0000-0300-000003000000}" name="Open Tasks"/>
    <tableColumn id="4" xr3:uid="{00000000-0010-0000-0300-000004000000}" name="Completed Tasks"/>
    <tableColumn id="5" xr3:uid="{00000000-0010-0000-0300-000005000000}" name="Total Est Hours"/>
    <tableColumn id="6" xr3:uid="{00000000-0010-0000-0300-000006000000}" name="Total Act Hours"/>
    <tableColumn id="7" xr3:uid="{00000000-0010-0000-0300-000007000000}" name="Avg Est Hours"/>
    <tableColumn id="8" xr3:uid="{00000000-0010-0000-0300-000008000000}" name="Avg Act Hours"/>
    <tableColumn id="9" xr3:uid="{00000000-0010-0000-0300-000009000000}" name="Avg Cycle Time"/>
    <tableColumn id="10" xr3:uid="{00000000-0010-0000-0300-00000A000000}" name="Overdue Tasks"/>
    <tableColumn id="11" xr3:uid="{00000000-0010-0000-0300-00000B000000}" name="High Priority Tasks"/>
    <tableColumn id="12" xr3:uid="{00000000-0010-0000-0300-00000C000000}" name="Productivity Score" dataDxfId="8"/>
    <tableColumn id="13" xr3:uid="{00000000-0010-0000-0300-00000D000000}" name="Capacity Hours"/>
    <tableColumn id="14" xr3:uid="{00000000-0010-0000-0300-00000E000000}" name="Utilization %" dataDxfId="7"/>
    <tableColumn id="15" xr3:uid="{00000000-0010-0000-0300-00000F000000}" name="Load Statu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blPivotData" displayName="tblPivotData" ref="A1:AQ121" totalsRowShown="0" headerRowDxfId="9">
  <autoFilter ref="A1:AQ121" xr:uid="{00000000-0009-0000-0100-000003000000}"/>
  <tableColumns count="43">
    <tableColumn id="1" xr3:uid="{00000000-0010-0000-0400-000001000000}" name="Task ID"/>
    <tableColumn id="2" xr3:uid="{00000000-0010-0000-0400-000002000000}" name="Project Name"/>
    <tableColumn id="3" xr3:uid="{00000000-0010-0000-0400-000003000000}" name="Department"/>
    <tableColumn id="4" xr3:uid="{00000000-0010-0000-0400-000004000000}" name="Assigned To"/>
    <tableColumn id="5" xr3:uid="{00000000-0010-0000-0400-000005000000}" name="Role"/>
    <tableColumn id="6" xr3:uid="{00000000-0010-0000-0400-000006000000}" name="Priority"/>
    <tableColumn id="7" xr3:uid="{00000000-0010-0000-0400-000007000000}" name="Task Category"/>
    <tableColumn id="8" xr3:uid="{00000000-0010-0000-0400-000008000000}" name="Task Status"/>
    <tableColumn id="9" xr3:uid="{00000000-0010-0000-0400-000009000000}" name="Start Date" dataDxfId="3"/>
    <tableColumn id="10" xr3:uid="{00000000-0010-0000-0400-00000A000000}" name="Due Date" dataDxfId="2"/>
    <tableColumn id="11" xr3:uid="{00000000-0010-0000-0400-00000B000000}" name="Completion Date" dataDxfId="1"/>
    <tableColumn id="12" xr3:uid="{00000000-0010-0000-0400-00000C000000}" name="Due_Month"/>
    <tableColumn id="13" xr3:uid="{00000000-0010-0000-0400-00000D000000}" name="Start_Month"/>
    <tableColumn id="14" xr3:uid="{00000000-0010-0000-0400-00000E000000}" name="Completion_Month"/>
    <tableColumn id="15" xr3:uid="{00000000-0010-0000-0400-00000F000000}" name="Year"/>
    <tableColumn id="16" xr3:uid="{00000000-0010-0000-0400-000010000000}" name="Month_Number"/>
    <tableColumn id="17" xr3:uid="{00000000-0010-0000-0400-000011000000}" name="Month_Name"/>
    <tableColumn id="18" xr3:uid="{00000000-0010-0000-0400-000012000000}" name="Progress_Pct" dataDxfId="0"/>
    <tableColumn id="19" xr3:uid="{00000000-0010-0000-0400-000013000000}" name="Estimated Hours"/>
    <tableColumn id="20" xr3:uid="{00000000-0010-0000-0400-000014000000}" name="Actual Hours"/>
    <tableColumn id="21" xr3:uid="{00000000-0010-0000-0400-000015000000}" name="Variance"/>
    <tableColumn id="22" xr3:uid="{00000000-0010-0000-0400-000016000000}" name="Days_Open"/>
    <tableColumn id="23" xr3:uid="{00000000-0010-0000-0400-000017000000}" name="Delay_Days"/>
    <tableColumn id="24" xr3:uid="{00000000-0010-0000-0400-000018000000}" name="Cycle_Time_Days"/>
    <tableColumn id="25" xr3:uid="{00000000-0010-0000-0400-000019000000}" name="Lead_Time_Days"/>
    <tableColumn id="26" xr3:uid="{00000000-0010-0000-0400-00001A000000}" name="Is_Completed"/>
    <tableColumn id="27" xr3:uid="{00000000-0010-0000-0400-00001B000000}" name="Is_Completed_Num"/>
    <tableColumn id="28" xr3:uid="{00000000-0010-0000-0400-00001C000000}" name="Is_Pending"/>
    <tableColumn id="29" xr3:uid="{00000000-0010-0000-0400-00001D000000}" name="Is_Pending_Num"/>
    <tableColumn id="30" xr3:uid="{00000000-0010-0000-0400-00001E000000}" name="Is_Delayed"/>
    <tableColumn id="31" xr3:uid="{00000000-0010-0000-0400-00001F000000}" name="Is_Delayed_Num"/>
    <tableColumn id="32" xr3:uid="{00000000-0010-0000-0400-000020000000}" name="Overdue_Flag"/>
    <tableColumn id="33" xr3:uid="{00000000-0010-0000-0400-000021000000}" name="Overdue_Flag_Num"/>
    <tableColumn id="34" xr3:uid="{00000000-0010-0000-0400-000022000000}" name="High_Priority_Open_Flag"/>
    <tableColumn id="35" xr3:uid="{00000000-0010-0000-0400-000023000000}" name="High_Priority_Open_Flag_Num"/>
    <tableColumn id="36" xr3:uid="{00000000-0010-0000-0400-000024000000}" name="SLA_Breach_Flag"/>
    <tableColumn id="37" xr3:uid="{00000000-0010-0000-0400-000025000000}" name="SLA_Breach_Flag_Num"/>
    <tableColumn id="38" xr3:uid="{00000000-0010-0000-0400-000026000000}" name="Stale_In_Progress_Flag"/>
    <tableColumn id="39" xr3:uid="{00000000-0010-0000-0400-000027000000}" name="Stale_In_Progress_Flag_Num"/>
    <tableColumn id="40" xr3:uid="{00000000-0010-0000-0400-000028000000}" name="Productivity_Flag"/>
    <tableColumn id="41" xr3:uid="{00000000-0010-0000-0400-000029000000}" name="Productivity_Flag_Num"/>
    <tableColumn id="42" xr3:uid="{00000000-0010-0000-0400-00002A000000}" name="On_Time_Flag"/>
    <tableColumn id="43" xr3:uid="{00000000-0010-0000-0400-00002B000000}" name="On_Time_Flag_Num"/>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057DF3-1EBE-4606-A09F-39418E8D3C21}">
  <we:reference id="wa200009404" version="1.0.0.8" store="en-US" storeType="OMEX"/>
  <we:alternateReferences>
    <we:reference id="wa200009404" version="1.0.0.8" store="" storeType="OMEX"/>
  </we:alternateReferences>
  <we:properties>
    <we:property name="claude.fileId" value="&quot;1081042b-9a45-454a-9457-e5c91c8a6aa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95959"/>
  </sheetPr>
  <dimension ref="A1:P121"/>
  <sheetViews>
    <sheetView zoomScaleNormal="100" workbookViewId="0">
      <pane ySplit="1" topLeftCell="A2" activePane="bottomLeft" state="frozen"/>
      <selection pane="bottomLeft" activeCell="B28" sqref="B28"/>
    </sheetView>
  </sheetViews>
  <sheetFormatPr defaultColWidth="8.6640625" defaultRowHeight="14.4" x14ac:dyDescent="0.3"/>
  <cols>
    <col min="1" max="1" width="10" customWidth="1"/>
    <col min="2" max="2" width="27" customWidth="1"/>
    <col min="3" max="3" width="12" customWidth="1"/>
    <col min="4" max="4" width="17" customWidth="1"/>
    <col min="5" max="6" width="11" customWidth="1"/>
    <col min="7" max="7" width="16" customWidth="1"/>
    <col min="8" max="10" width="21" customWidth="1"/>
    <col min="11" max="11" width="13" customWidth="1"/>
    <col min="12" max="12" width="12" customWidth="1"/>
    <col min="13" max="13" width="17" customWidth="1"/>
    <col min="14" max="14" width="14" customWidth="1"/>
    <col min="15" max="15" width="10" customWidth="1"/>
    <col min="16" max="16" width="28" customWidth="1"/>
  </cols>
  <sheetData>
    <row r="1" spans="1:16" ht="2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t="s">
        <v>16</v>
      </c>
      <c r="B2" s="2" t="s">
        <v>17</v>
      </c>
      <c r="C2" s="2" t="s">
        <v>18</v>
      </c>
      <c r="D2" s="2" t="s">
        <v>19</v>
      </c>
      <c r="E2" s="2" t="s">
        <v>20</v>
      </c>
      <c r="F2" s="2" t="s">
        <v>21</v>
      </c>
      <c r="G2" s="2" t="s">
        <v>22</v>
      </c>
      <c r="H2" s="3">
        <v>45367</v>
      </c>
      <c r="I2" s="3">
        <v>45419</v>
      </c>
      <c r="J2" s="4">
        <v>45430</v>
      </c>
      <c r="K2" s="2" t="s">
        <v>23</v>
      </c>
      <c r="L2" s="2" t="s">
        <v>24</v>
      </c>
      <c r="M2" s="2">
        <v>10.6</v>
      </c>
      <c r="N2" s="2">
        <v>12.5</v>
      </c>
      <c r="O2" s="2"/>
      <c r="P2" s="2" t="s">
        <v>25</v>
      </c>
    </row>
    <row r="3" spans="1:16" x14ac:dyDescent="0.3">
      <c r="A3" s="5" t="s">
        <v>26</v>
      </c>
      <c r="B3" s="5" t="s">
        <v>27</v>
      </c>
      <c r="C3" s="5" t="s">
        <v>28</v>
      </c>
      <c r="D3" s="5" t="s">
        <v>29</v>
      </c>
      <c r="E3" s="5" t="s">
        <v>30</v>
      </c>
      <c r="F3" s="5" t="s">
        <v>31</v>
      </c>
      <c r="G3" s="5" t="s">
        <v>32</v>
      </c>
      <c r="H3" s="6">
        <v>45662</v>
      </c>
      <c r="I3" s="6">
        <v>45708</v>
      </c>
      <c r="J3" s="5"/>
      <c r="K3" s="5" t="s">
        <v>33</v>
      </c>
      <c r="L3" s="5"/>
      <c r="M3" s="5">
        <v>48.8</v>
      </c>
      <c r="N3" s="5"/>
      <c r="O3" s="5"/>
      <c r="P3" s="5"/>
    </row>
    <row r="4" spans="1:16" x14ac:dyDescent="0.3">
      <c r="A4" s="2" t="s">
        <v>34</v>
      </c>
      <c r="B4" s="2" t="s">
        <v>35</v>
      </c>
      <c r="C4" s="2" t="s">
        <v>36</v>
      </c>
      <c r="D4" s="2" t="s">
        <v>37</v>
      </c>
      <c r="E4" s="2" t="s">
        <v>38</v>
      </c>
      <c r="F4" s="2" t="s">
        <v>21</v>
      </c>
      <c r="G4" s="2" t="s">
        <v>39</v>
      </c>
      <c r="H4" s="3">
        <v>45348</v>
      </c>
      <c r="I4" s="3">
        <v>45358</v>
      </c>
      <c r="J4" s="2"/>
      <c r="K4" s="2" t="s">
        <v>40</v>
      </c>
      <c r="L4" s="2"/>
      <c r="M4" s="2">
        <v>68.400000000000006</v>
      </c>
      <c r="N4" s="2"/>
      <c r="O4" s="2"/>
      <c r="P4" s="2" t="s">
        <v>41</v>
      </c>
    </row>
    <row r="5" spans="1:16" x14ac:dyDescent="0.3">
      <c r="A5" s="5" t="s">
        <v>42</v>
      </c>
      <c r="B5" s="5" t="s">
        <v>43</v>
      </c>
      <c r="C5" s="5" t="s">
        <v>44</v>
      </c>
      <c r="D5" s="5" t="s">
        <v>45</v>
      </c>
      <c r="E5" s="5" t="s">
        <v>46</v>
      </c>
      <c r="F5" s="5" t="s">
        <v>47</v>
      </c>
      <c r="G5" s="5" t="s">
        <v>48</v>
      </c>
      <c r="H5" s="6">
        <v>45617</v>
      </c>
      <c r="I5" s="6">
        <v>45661</v>
      </c>
      <c r="J5" s="5"/>
      <c r="K5" s="5" t="s">
        <v>49</v>
      </c>
      <c r="L5" s="5"/>
      <c r="M5" s="5">
        <v>18.600000000000001</v>
      </c>
      <c r="N5" s="5"/>
      <c r="O5" s="5"/>
      <c r="P5" s="5" t="s">
        <v>50</v>
      </c>
    </row>
    <row r="6" spans="1:16" x14ac:dyDescent="0.3">
      <c r="A6" s="2" t="s">
        <v>51</v>
      </c>
      <c r="B6" s="2" t="s">
        <v>52</v>
      </c>
      <c r="C6" s="2" t="s">
        <v>53</v>
      </c>
      <c r="D6" s="2" t="s">
        <v>54</v>
      </c>
      <c r="E6" s="2" t="s">
        <v>55</v>
      </c>
      <c r="F6" s="2" t="s">
        <v>56</v>
      </c>
      <c r="G6" s="2" t="s">
        <v>57</v>
      </c>
      <c r="H6" s="7">
        <v>45490</v>
      </c>
      <c r="I6" s="7">
        <v>45512</v>
      </c>
      <c r="J6" s="2"/>
      <c r="K6" s="2" t="s">
        <v>58</v>
      </c>
      <c r="L6" s="2">
        <v>28</v>
      </c>
      <c r="M6" s="2">
        <v>32.1</v>
      </c>
      <c r="N6" s="2"/>
      <c r="O6" s="2"/>
      <c r="P6" s="2" t="s">
        <v>59</v>
      </c>
    </row>
    <row r="7" spans="1:16" x14ac:dyDescent="0.3">
      <c r="A7" s="5" t="s">
        <v>60</v>
      </c>
      <c r="B7" s="5" t="s">
        <v>17</v>
      </c>
      <c r="C7" s="5" t="s">
        <v>61</v>
      </c>
      <c r="D7" s="5" t="s">
        <v>62</v>
      </c>
      <c r="E7" s="5" t="s">
        <v>55</v>
      </c>
      <c r="F7" s="5" t="s">
        <v>63</v>
      </c>
      <c r="G7" s="5" t="s">
        <v>64</v>
      </c>
      <c r="H7" s="6">
        <v>45490</v>
      </c>
      <c r="I7" s="6">
        <v>45512</v>
      </c>
      <c r="J7" s="5"/>
      <c r="K7" s="5" t="s">
        <v>65</v>
      </c>
      <c r="L7" s="5" t="s">
        <v>66</v>
      </c>
      <c r="M7" s="5">
        <v>66.5</v>
      </c>
      <c r="N7" s="5">
        <v>25.2</v>
      </c>
      <c r="O7" s="5"/>
      <c r="P7" s="5" t="s">
        <v>67</v>
      </c>
    </row>
    <row r="8" spans="1:16" x14ac:dyDescent="0.3">
      <c r="A8" s="2" t="s">
        <v>68</v>
      </c>
      <c r="B8" s="2" t="s">
        <v>69</v>
      </c>
      <c r="C8" s="2" t="s">
        <v>36</v>
      </c>
      <c r="D8" s="2" t="s">
        <v>70</v>
      </c>
      <c r="E8" s="2" t="s">
        <v>71</v>
      </c>
      <c r="F8" s="2" t="s">
        <v>72</v>
      </c>
      <c r="G8" s="2" t="s">
        <v>64</v>
      </c>
      <c r="H8" s="4">
        <v>45369</v>
      </c>
      <c r="I8" s="4">
        <v>45390</v>
      </c>
      <c r="J8" s="2"/>
      <c r="K8" s="2" t="s">
        <v>73</v>
      </c>
      <c r="L8" s="2" t="s">
        <v>74</v>
      </c>
      <c r="M8" s="2">
        <v>60.8</v>
      </c>
      <c r="N8" s="2">
        <v>32.799999999999997</v>
      </c>
      <c r="O8" s="2"/>
      <c r="P8" s="2" t="s">
        <v>75</v>
      </c>
    </row>
    <row r="9" spans="1:16" x14ac:dyDescent="0.3">
      <c r="A9" s="5" t="s">
        <v>76</v>
      </c>
      <c r="B9" s="5" t="s">
        <v>77</v>
      </c>
      <c r="C9" s="5" t="s">
        <v>28</v>
      </c>
      <c r="D9" s="5" t="s">
        <v>78</v>
      </c>
      <c r="E9" s="5" t="s">
        <v>79</v>
      </c>
      <c r="F9" s="5" t="s">
        <v>80</v>
      </c>
      <c r="G9" s="5" t="s">
        <v>81</v>
      </c>
      <c r="H9" s="8">
        <v>45352</v>
      </c>
      <c r="I9" s="8">
        <v>45366</v>
      </c>
      <c r="J9" s="5"/>
      <c r="K9" s="5" t="s">
        <v>82</v>
      </c>
      <c r="L9" s="5"/>
      <c r="M9" s="5">
        <v>33</v>
      </c>
      <c r="N9" s="5">
        <v>16.7</v>
      </c>
      <c r="O9" s="5"/>
      <c r="P9" s="5" t="s">
        <v>83</v>
      </c>
    </row>
    <row r="10" spans="1:16" x14ac:dyDescent="0.3">
      <c r="A10" s="2" t="s">
        <v>84</v>
      </c>
      <c r="B10" s="2" t="s">
        <v>17</v>
      </c>
      <c r="C10" s="2" t="s">
        <v>85</v>
      </c>
      <c r="D10" s="2" t="s">
        <v>86</v>
      </c>
      <c r="E10" s="2" t="s">
        <v>87</v>
      </c>
      <c r="F10" s="2" t="s">
        <v>47</v>
      </c>
      <c r="G10" s="2" t="s">
        <v>48</v>
      </c>
      <c r="H10" s="4">
        <v>45518</v>
      </c>
      <c r="I10" s="4">
        <v>45533</v>
      </c>
      <c r="J10" s="2"/>
      <c r="K10" s="2" t="s">
        <v>58</v>
      </c>
      <c r="L10" s="2"/>
      <c r="M10" s="2">
        <v>70.599999999999994</v>
      </c>
      <c r="N10" s="2">
        <v>0</v>
      </c>
      <c r="O10" s="2"/>
      <c r="P10" s="2" t="s">
        <v>88</v>
      </c>
    </row>
    <row r="11" spans="1:16" x14ac:dyDescent="0.3">
      <c r="A11" s="5" t="s">
        <v>89</v>
      </c>
      <c r="B11" s="5" t="s">
        <v>90</v>
      </c>
      <c r="C11" s="5" t="s">
        <v>44</v>
      </c>
      <c r="D11" s="5" t="s">
        <v>54</v>
      </c>
      <c r="E11" s="5" t="s">
        <v>91</v>
      </c>
      <c r="F11" s="5" t="s">
        <v>56</v>
      </c>
      <c r="G11" s="5" t="s">
        <v>92</v>
      </c>
      <c r="H11" s="9">
        <v>45607</v>
      </c>
      <c r="I11" s="9">
        <v>45624</v>
      </c>
      <c r="J11" s="5"/>
      <c r="K11" s="5" t="s">
        <v>73</v>
      </c>
      <c r="L11" s="5">
        <v>57</v>
      </c>
      <c r="M11" s="5">
        <v>49.5</v>
      </c>
      <c r="N11" s="5">
        <v>6.8</v>
      </c>
      <c r="O11" s="5"/>
      <c r="P11" s="5" t="s">
        <v>75</v>
      </c>
    </row>
    <row r="12" spans="1:16" x14ac:dyDescent="0.3">
      <c r="A12" s="2" t="s">
        <v>93</v>
      </c>
      <c r="B12" s="2" t="s">
        <v>27</v>
      </c>
      <c r="C12" s="2" t="s">
        <v>94</v>
      </c>
      <c r="D12" s="2" t="s">
        <v>70</v>
      </c>
      <c r="E12" s="2" t="s">
        <v>79</v>
      </c>
      <c r="F12" s="2" t="s">
        <v>47</v>
      </c>
      <c r="G12" s="2" t="s">
        <v>95</v>
      </c>
      <c r="H12" s="10">
        <v>45331</v>
      </c>
      <c r="I12" s="10">
        <v>45384</v>
      </c>
      <c r="J12" s="2"/>
      <c r="K12" s="2" t="s">
        <v>73</v>
      </c>
      <c r="L12" s="2" t="s">
        <v>96</v>
      </c>
      <c r="M12" s="2">
        <v>24.1</v>
      </c>
      <c r="N12" s="2">
        <v>10.3</v>
      </c>
      <c r="O12" s="2"/>
      <c r="P12" s="2" t="s">
        <v>97</v>
      </c>
    </row>
    <row r="13" spans="1:16" x14ac:dyDescent="0.3">
      <c r="A13" s="5" t="s">
        <v>98</v>
      </c>
      <c r="B13" s="5" t="s">
        <v>27</v>
      </c>
      <c r="C13" s="5" t="s">
        <v>99</v>
      </c>
      <c r="D13" s="5" t="s">
        <v>100</v>
      </c>
      <c r="E13" s="5" t="s">
        <v>101</v>
      </c>
      <c r="F13" s="5" t="s">
        <v>102</v>
      </c>
      <c r="G13" s="5" t="s">
        <v>92</v>
      </c>
      <c r="H13" s="8">
        <v>45527</v>
      </c>
      <c r="I13" s="8">
        <v>45539</v>
      </c>
      <c r="J13" s="5"/>
      <c r="K13" s="5" t="s">
        <v>65</v>
      </c>
      <c r="L13" s="5">
        <v>38</v>
      </c>
      <c r="M13" s="5">
        <v>48.7</v>
      </c>
      <c r="N13" s="5"/>
      <c r="O13" s="5"/>
      <c r="P13" s="5" t="s">
        <v>103</v>
      </c>
    </row>
    <row r="14" spans="1:16" x14ac:dyDescent="0.3">
      <c r="A14" s="2" t="s">
        <v>104</v>
      </c>
      <c r="B14" s="2" t="s">
        <v>17</v>
      </c>
      <c r="C14" s="2" t="s">
        <v>94</v>
      </c>
      <c r="D14" s="2" t="s">
        <v>70</v>
      </c>
      <c r="E14" s="2" t="s">
        <v>79</v>
      </c>
      <c r="F14" s="2" t="s">
        <v>105</v>
      </c>
      <c r="G14" s="2" t="s">
        <v>81</v>
      </c>
      <c r="H14" s="10">
        <v>45465</v>
      </c>
      <c r="I14" s="10">
        <v>45474</v>
      </c>
      <c r="J14" s="2"/>
      <c r="K14" s="2" t="s">
        <v>106</v>
      </c>
      <c r="L14" s="2">
        <v>0</v>
      </c>
      <c r="M14" s="2">
        <v>25.2</v>
      </c>
      <c r="N14" s="2">
        <v>0</v>
      </c>
      <c r="O14" s="2"/>
      <c r="P14" s="2" t="s">
        <v>97</v>
      </c>
    </row>
    <row r="15" spans="1:16" x14ac:dyDescent="0.3">
      <c r="A15" s="5" t="s">
        <v>107</v>
      </c>
      <c r="B15" s="5" t="s">
        <v>77</v>
      </c>
      <c r="C15" s="5" t="s">
        <v>108</v>
      </c>
      <c r="D15" s="5" t="s">
        <v>70</v>
      </c>
      <c r="E15" s="5" t="s">
        <v>71</v>
      </c>
      <c r="F15" s="5" t="s">
        <v>80</v>
      </c>
      <c r="G15" s="5" t="s">
        <v>109</v>
      </c>
      <c r="H15" s="8">
        <v>45393</v>
      </c>
      <c r="I15" s="8">
        <v>45404</v>
      </c>
      <c r="J15" s="8">
        <v>45415</v>
      </c>
      <c r="K15" s="5" t="s">
        <v>23</v>
      </c>
      <c r="L15" s="5" t="s">
        <v>110</v>
      </c>
      <c r="M15" s="5">
        <v>30.9</v>
      </c>
      <c r="N15" s="5">
        <v>32.299999999999997</v>
      </c>
      <c r="O15" s="5"/>
      <c r="P15" s="5" t="s">
        <v>111</v>
      </c>
    </row>
    <row r="16" spans="1:16" x14ac:dyDescent="0.3">
      <c r="A16" s="2" t="s">
        <v>112</v>
      </c>
      <c r="B16" s="2" t="s">
        <v>113</v>
      </c>
      <c r="C16" s="2" t="s">
        <v>114</v>
      </c>
      <c r="D16" s="2" t="s">
        <v>19</v>
      </c>
      <c r="E16" s="2" t="s">
        <v>87</v>
      </c>
      <c r="F16" s="2" t="s">
        <v>80</v>
      </c>
      <c r="G16" s="2" t="s">
        <v>57</v>
      </c>
      <c r="H16" s="11">
        <v>45423</v>
      </c>
      <c r="I16" s="11">
        <v>45440</v>
      </c>
      <c r="J16" s="2"/>
      <c r="K16" s="2" t="s">
        <v>115</v>
      </c>
      <c r="L16" s="2"/>
      <c r="M16" s="2">
        <v>17.899999999999999</v>
      </c>
      <c r="N16" s="2">
        <v>14.3</v>
      </c>
      <c r="O16" s="2"/>
      <c r="P16" s="2" t="s">
        <v>67</v>
      </c>
    </row>
    <row r="17" spans="1:16" x14ac:dyDescent="0.3">
      <c r="A17" s="5" t="s">
        <v>116</v>
      </c>
      <c r="B17" s="5" t="s">
        <v>90</v>
      </c>
      <c r="C17" s="5" t="s">
        <v>44</v>
      </c>
      <c r="D17" s="5" t="s">
        <v>117</v>
      </c>
      <c r="E17" s="5" t="s">
        <v>30</v>
      </c>
      <c r="F17" s="5" t="s">
        <v>47</v>
      </c>
      <c r="G17" s="5" t="s">
        <v>22</v>
      </c>
      <c r="H17" s="6">
        <v>45381</v>
      </c>
      <c r="I17" s="6">
        <v>45412</v>
      </c>
      <c r="J17" s="5"/>
      <c r="K17" s="5" t="s">
        <v>118</v>
      </c>
      <c r="L17" s="5"/>
      <c r="M17" s="5">
        <v>20.2</v>
      </c>
      <c r="N17" s="5">
        <v>0</v>
      </c>
      <c r="O17" s="5"/>
      <c r="P17" s="5" t="s">
        <v>50</v>
      </c>
    </row>
    <row r="18" spans="1:16" x14ac:dyDescent="0.3">
      <c r="A18" s="2" t="s">
        <v>119</v>
      </c>
      <c r="B18" s="2" t="s">
        <v>35</v>
      </c>
      <c r="C18" s="2" t="s">
        <v>18</v>
      </c>
      <c r="D18" s="2" t="s">
        <v>100</v>
      </c>
      <c r="E18" s="2" t="s">
        <v>20</v>
      </c>
      <c r="F18" s="2" t="s">
        <v>105</v>
      </c>
      <c r="G18" s="2" t="s">
        <v>64</v>
      </c>
      <c r="H18" s="10">
        <v>45442</v>
      </c>
      <c r="I18" s="10">
        <v>45474</v>
      </c>
      <c r="J18" s="2"/>
      <c r="K18" s="2" t="s">
        <v>118</v>
      </c>
      <c r="L18" s="2">
        <v>0</v>
      </c>
      <c r="M18" s="2">
        <v>18.399999999999999</v>
      </c>
      <c r="N18" s="2"/>
      <c r="O18" s="2"/>
      <c r="P18" s="2" t="s">
        <v>50</v>
      </c>
    </row>
    <row r="19" spans="1:16" x14ac:dyDescent="0.3">
      <c r="A19" s="5" t="s">
        <v>120</v>
      </c>
      <c r="B19" s="5" t="s">
        <v>90</v>
      </c>
      <c r="C19" s="5" t="s">
        <v>94</v>
      </c>
      <c r="D19" s="5" t="s">
        <v>19</v>
      </c>
      <c r="E19" s="5" t="s">
        <v>87</v>
      </c>
      <c r="F19" s="5" t="s">
        <v>121</v>
      </c>
      <c r="G19" s="5" t="s">
        <v>81</v>
      </c>
      <c r="H19" s="6">
        <v>45595</v>
      </c>
      <c r="I19" s="6">
        <v>45630</v>
      </c>
      <c r="J19" s="5"/>
      <c r="K19" s="5" t="s">
        <v>106</v>
      </c>
      <c r="L19" s="5"/>
      <c r="M19" s="5">
        <v>16</v>
      </c>
      <c r="N19" s="5"/>
      <c r="O19" s="5"/>
      <c r="P19" s="5" t="s">
        <v>67</v>
      </c>
    </row>
    <row r="20" spans="1:16" x14ac:dyDescent="0.3">
      <c r="A20" s="2" t="s">
        <v>122</v>
      </c>
      <c r="B20" s="2" t="s">
        <v>17</v>
      </c>
      <c r="C20" s="2" t="s">
        <v>53</v>
      </c>
      <c r="D20" s="2" t="s">
        <v>123</v>
      </c>
      <c r="E20" s="2" t="s">
        <v>55</v>
      </c>
      <c r="F20" s="2" t="s">
        <v>72</v>
      </c>
      <c r="G20" s="2" t="s">
        <v>57</v>
      </c>
      <c r="H20" s="7">
        <v>45587</v>
      </c>
      <c r="I20" s="7">
        <v>45607</v>
      </c>
      <c r="J20" s="7">
        <v>45616</v>
      </c>
      <c r="K20" s="2" t="s">
        <v>124</v>
      </c>
      <c r="L20" s="2">
        <v>100</v>
      </c>
      <c r="M20" s="2">
        <v>35.9</v>
      </c>
      <c r="N20" s="2">
        <v>44.2</v>
      </c>
      <c r="O20" s="2"/>
      <c r="P20" s="2" t="s">
        <v>88</v>
      </c>
    </row>
    <row r="21" spans="1:16" x14ac:dyDescent="0.3">
      <c r="A21" s="5" t="s">
        <v>125</v>
      </c>
      <c r="B21" s="5" t="s">
        <v>27</v>
      </c>
      <c r="C21" s="5" t="s">
        <v>36</v>
      </c>
      <c r="D21" s="5" t="s">
        <v>70</v>
      </c>
      <c r="E21" s="5" t="s">
        <v>20</v>
      </c>
      <c r="F21" s="5" t="s">
        <v>72</v>
      </c>
      <c r="G21" s="5" t="s">
        <v>126</v>
      </c>
      <c r="H21" s="12">
        <v>45639</v>
      </c>
      <c r="I21" s="12">
        <v>45685</v>
      </c>
      <c r="J21" s="5"/>
      <c r="K21" s="5" t="s">
        <v>127</v>
      </c>
      <c r="L21" s="5"/>
      <c r="M21" s="5">
        <v>28</v>
      </c>
      <c r="N21" s="5"/>
      <c r="O21" s="5"/>
      <c r="P21" s="5" t="s">
        <v>25</v>
      </c>
    </row>
    <row r="22" spans="1:16" x14ac:dyDescent="0.3">
      <c r="A22" s="2" t="s">
        <v>128</v>
      </c>
      <c r="B22" s="2" t="s">
        <v>69</v>
      </c>
      <c r="C22" s="2" t="s">
        <v>44</v>
      </c>
      <c r="D22" s="2" t="s">
        <v>129</v>
      </c>
      <c r="E22" s="2" t="s">
        <v>130</v>
      </c>
      <c r="F22" s="2" t="s">
        <v>31</v>
      </c>
      <c r="G22" s="2" t="s">
        <v>131</v>
      </c>
      <c r="H22" s="7">
        <v>45363</v>
      </c>
      <c r="I22" s="7">
        <v>45390</v>
      </c>
      <c r="J22" s="10">
        <v>45387</v>
      </c>
      <c r="K22" s="2" t="s">
        <v>132</v>
      </c>
      <c r="L22" s="2">
        <v>100</v>
      </c>
      <c r="M22" s="2">
        <v>25.7</v>
      </c>
      <c r="N22" s="2">
        <v>28.2</v>
      </c>
      <c r="O22" s="2"/>
      <c r="P22" s="2" t="s">
        <v>83</v>
      </c>
    </row>
    <row r="23" spans="1:16" x14ac:dyDescent="0.3">
      <c r="A23" s="5" t="s">
        <v>133</v>
      </c>
      <c r="B23" s="5" t="s">
        <v>90</v>
      </c>
      <c r="C23" s="5" t="s">
        <v>18</v>
      </c>
      <c r="D23" s="5" t="s">
        <v>123</v>
      </c>
      <c r="E23" s="5" t="s">
        <v>91</v>
      </c>
      <c r="F23" s="5" t="s">
        <v>105</v>
      </c>
      <c r="G23" s="5" t="s">
        <v>57</v>
      </c>
      <c r="H23" s="9">
        <v>45364</v>
      </c>
      <c r="I23" s="9">
        <v>45385</v>
      </c>
      <c r="J23" s="6">
        <v>45378</v>
      </c>
      <c r="K23" s="5" t="s">
        <v>23</v>
      </c>
      <c r="L23" s="5" t="s">
        <v>24</v>
      </c>
      <c r="M23" s="5">
        <v>15.8</v>
      </c>
      <c r="N23" s="5">
        <v>12.1</v>
      </c>
      <c r="O23" s="5"/>
      <c r="P23" s="5" t="s">
        <v>97</v>
      </c>
    </row>
    <row r="24" spans="1:16" x14ac:dyDescent="0.3">
      <c r="A24" s="2" t="s">
        <v>134</v>
      </c>
      <c r="B24" s="2" t="s">
        <v>52</v>
      </c>
      <c r="C24" s="2" t="s">
        <v>28</v>
      </c>
      <c r="D24" s="2" t="s">
        <v>78</v>
      </c>
      <c r="E24" s="2" t="s">
        <v>20</v>
      </c>
      <c r="F24" s="2" t="s">
        <v>105</v>
      </c>
      <c r="G24" s="2" t="s">
        <v>81</v>
      </c>
      <c r="H24" s="7">
        <v>45343</v>
      </c>
      <c r="I24" s="7">
        <v>45388</v>
      </c>
      <c r="J24" s="2"/>
      <c r="K24" s="2" t="s">
        <v>33</v>
      </c>
      <c r="L24" s="2">
        <v>22</v>
      </c>
      <c r="M24" s="2">
        <v>4.3</v>
      </c>
      <c r="N24" s="2"/>
      <c r="O24" s="2"/>
      <c r="P24" s="2" t="s">
        <v>135</v>
      </c>
    </row>
    <row r="25" spans="1:16" x14ac:dyDescent="0.3">
      <c r="A25" s="5" t="s">
        <v>136</v>
      </c>
      <c r="B25" s="5" t="s">
        <v>77</v>
      </c>
      <c r="C25" s="5" t="s">
        <v>137</v>
      </c>
      <c r="D25" s="5" t="s">
        <v>62</v>
      </c>
      <c r="E25" s="5" t="s">
        <v>138</v>
      </c>
      <c r="F25" s="5" t="s">
        <v>31</v>
      </c>
      <c r="G25" s="5" t="s">
        <v>139</v>
      </c>
      <c r="H25" s="8">
        <v>45353</v>
      </c>
      <c r="I25" s="8">
        <v>45362</v>
      </c>
      <c r="J25" s="5"/>
      <c r="K25" s="5" t="s">
        <v>73</v>
      </c>
      <c r="L25" s="5" t="s">
        <v>140</v>
      </c>
      <c r="M25" s="5">
        <v>36.700000000000003</v>
      </c>
      <c r="N25" s="5"/>
      <c r="O25" s="5"/>
      <c r="P25" s="5" t="s">
        <v>75</v>
      </c>
    </row>
    <row r="26" spans="1:16" x14ac:dyDescent="0.3">
      <c r="A26" s="2" t="s">
        <v>141</v>
      </c>
      <c r="B26" s="2" t="s">
        <v>142</v>
      </c>
      <c r="C26" s="2" t="s">
        <v>143</v>
      </c>
      <c r="D26" s="2" t="s">
        <v>123</v>
      </c>
      <c r="E26" s="2" t="s">
        <v>55</v>
      </c>
      <c r="F26" s="2" t="s">
        <v>144</v>
      </c>
      <c r="G26" s="2" t="s">
        <v>57</v>
      </c>
      <c r="H26" s="3">
        <v>45477</v>
      </c>
      <c r="I26" s="3">
        <v>45531</v>
      </c>
      <c r="J26" s="2"/>
      <c r="K26" s="2" t="s">
        <v>33</v>
      </c>
      <c r="L26" s="2">
        <v>14</v>
      </c>
      <c r="M26" s="2">
        <v>69.7</v>
      </c>
      <c r="N26" s="2"/>
      <c r="O26" s="2"/>
      <c r="P26" s="2"/>
    </row>
    <row r="27" spans="1:16" x14ac:dyDescent="0.3">
      <c r="A27" s="5" t="s">
        <v>145</v>
      </c>
      <c r="B27" s="5" t="s">
        <v>77</v>
      </c>
      <c r="C27" s="5" t="s">
        <v>36</v>
      </c>
      <c r="D27" s="5" t="s">
        <v>86</v>
      </c>
      <c r="E27" s="5" t="s">
        <v>138</v>
      </c>
      <c r="F27" s="5" t="s">
        <v>80</v>
      </c>
      <c r="G27" s="5" t="s">
        <v>22</v>
      </c>
      <c r="H27" s="9">
        <v>45432</v>
      </c>
      <c r="I27" s="9">
        <v>45447</v>
      </c>
      <c r="J27" s="9">
        <v>45449</v>
      </c>
      <c r="K27" s="5" t="s">
        <v>23</v>
      </c>
      <c r="L27" s="5">
        <v>100</v>
      </c>
      <c r="M27" s="5">
        <v>69.3</v>
      </c>
      <c r="N27" s="5">
        <v>63.2</v>
      </c>
      <c r="O27" s="5"/>
      <c r="P27" s="5"/>
    </row>
    <row r="28" spans="1:16" x14ac:dyDescent="0.3">
      <c r="A28" s="2" t="s">
        <v>146</v>
      </c>
      <c r="B28" s="2" t="s">
        <v>27</v>
      </c>
      <c r="C28" s="2" t="s">
        <v>147</v>
      </c>
      <c r="D28" s="2" t="s">
        <v>117</v>
      </c>
      <c r="E28" s="2" t="s">
        <v>130</v>
      </c>
      <c r="F28" s="2" t="s">
        <v>72</v>
      </c>
      <c r="G28" s="2" t="s">
        <v>39</v>
      </c>
      <c r="H28" s="10">
        <v>45438</v>
      </c>
      <c r="I28" s="10">
        <v>45498</v>
      </c>
      <c r="J28" s="7">
        <v>45512</v>
      </c>
      <c r="K28" s="2" t="s">
        <v>132</v>
      </c>
      <c r="L28" s="2">
        <v>100</v>
      </c>
      <c r="M28" s="2">
        <v>30.7</v>
      </c>
      <c r="N28" s="2">
        <v>36.1</v>
      </c>
      <c r="O28" s="2"/>
      <c r="P28" s="2" t="s">
        <v>59</v>
      </c>
    </row>
    <row r="29" spans="1:16" x14ac:dyDescent="0.3">
      <c r="A29" s="5" t="s">
        <v>148</v>
      </c>
      <c r="B29" s="5" t="s">
        <v>113</v>
      </c>
      <c r="C29" s="5" t="s">
        <v>44</v>
      </c>
      <c r="D29" s="5" t="s">
        <v>45</v>
      </c>
      <c r="E29" s="5" t="s">
        <v>20</v>
      </c>
      <c r="F29" s="5" t="s">
        <v>63</v>
      </c>
      <c r="G29" s="5" t="s">
        <v>131</v>
      </c>
      <c r="H29" s="13">
        <v>45315</v>
      </c>
      <c r="I29" s="13">
        <v>45326</v>
      </c>
      <c r="J29" s="5"/>
      <c r="K29" s="5" t="s">
        <v>33</v>
      </c>
      <c r="L29" s="5"/>
      <c r="M29" s="5">
        <v>63.8</v>
      </c>
      <c r="N29" s="5">
        <v>0</v>
      </c>
      <c r="O29" s="5"/>
      <c r="P29" s="5" t="s">
        <v>149</v>
      </c>
    </row>
    <row r="30" spans="1:16" x14ac:dyDescent="0.3">
      <c r="A30" s="2" t="s">
        <v>150</v>
      </c>
      <c r="B30" s="2" t="s">
        <v>17</v>
      </c>
      <c r="C30" s="2" t="s">
        <v>114</v>
      </c>
      <c r="D30" s="2" t="s">
        <v>45</v>
      </c>
      <c r="E30" s="2" t="s">
        <v>130</v>
      </c>
      <c r="F30" s="2" t="s">
        <v>151</v>
      </c>
      <c r="G30" s="2" t="s">
        <v>81</v>
      </c>
      <c r="H30" s="4">
        <v>45658</v>
      </c>
      <c r="I30" s="4">
        <v>45690</v>
      </c>
      <c r="J30" s="7">
        <v>45696</v>
      </c>
      <c r="K30" s="2" t="s">
        <v>152</v>
      </c>
      <c r="L30" s="2" t="s">
        <v>24</v>
      </c>
      <c r="M30" s="2">
        <v>56.2</v>
      </c>
      <c r="N30" s="2">
        <v>78.8</v>
      </c>
      <c r="O30" s="2"/>
      <c r="P30" s="2" t="s">
        <v>111</v>
      </c>
    </row>
    <row r="31" spans="1:16" x14ac:dyDescent="0.3">
      <c r="A31" s="5" t="s">
        <v>153</v>
      </c>
      <c r="B31" s="5" t="s">
        <v>35</v>
      </c>
      <c r="C31" s="5" t="s">
        <v>53</v>
      </c>
      <c r="D31" s="5" t="s">
        <v>123</v>
      </c>
      <c r="E31" s="5" t="s">
        <v>87</v>
      </c>
      <c r="F31" s="5" t="s">
        <v>154</v>
      </c>
      <c r="G31" s="5" t="s">
        <v>39</v>
      </c>
      <c r="H31" s="12">
        <v>45635</v>
      </c>
      <c r="I31" s="12">
        <v>45694</v>
      </c>
      <c r="J31" s="9">
        <v>45707</v>
      </c>
      <c r="K31" s="5" t="s">
        <v>23</v>
      </c>
      <c r="L31" s="5">
        <v>100</v>
      </c>
      <c r="M31" s="5">
        <v>42.5</v>
      </c>
      <c r="N31" s="5">
        <v>54.2</v>
      </c>
      <c r="O31" s="5"/>
      <c r="P31" s="5" t="s">
        <v>155</v>
      </c>
    </row>
    <row r="32" spans="1:16" x14ac:dyDescent="0.3">
      <c r="A32" s="2" t="s">
        <v>156</v>
      </c>
      <c r="B32" s="2" t="s">
        <v>90</v>
      </c>
      <c r="C32" s="2" t="s">
        <v>157</v>
      </c>
      <c r="D32" s="2" t="s">
        <v>70</v>
      </c>
      <c r="E32" s="2" t="s">
        <v>138</v>
      </c>
      <c r="F32" s="2" t="s">
        <v>144</v>
      </c>
      <c r="G32" s="2" t="s">
        <v>158</v>
      </c>
      <c r="H32" s="4">
        <v>45642</v>
      </c>
      <c r="I32" s="4">
        <v>45694</v>
      </c>
      <c r="J32" s="2"/>
      <c r="K32" s="2" t="s">
        <v>82</v>
      </c>
      <c r="L32" s="2"/>
      <c r="M32" s="2">
        <v>45.6</v>
      </c>
      <c r="N32" s="2"/>
      <c r="O32" s="2"/>
      <c r="P32" s="2" t="s">
        <v>159</v>
      </c>
    </row>
    <row r="33" spans="1:16" x14ac:dyDescent="0.3">
      <c r="A33" s="5" t="s">
        <v>160</v>
      </c>
      <c r="B33" s="5" t="s">
        <v>35</v>
      </c>
      <c r="C33" s="5" t="s">
        <v>36</v>
      </c>
      <c r="D33" s="5" t="s">
        <v>78</v>
      </c>
      <c r="E33" s="5" t="s">
        <v>161</v>
      </c>
      <c r="F33" s="5" t="s">
        <v>102</v>
      </c>
      <c r="G33" s="5" t="s">
        <v>32</v>
      </c>
      <c r="H33" s="6">
        <v>45557</v>
      </c>
      <c r="I33" s="6">
        <v>45592</v>
      </c>
      <c r="J33" s="5"/>
      <c r="K33" s="5" t="s">
        <v>82</v>
      </c>
      <c r="L33" s="5" t="s">
        <v>162</v>
      </c>
      <c r="M33" s="5">
        <v>11.1</v>
      </c>
      <c r="N33" s="5">
        <v>3.9</v>
      </c>
      <c r="O33" s="5"/>
      <c r="P33" s="5" t="s">
        <v>159</v>
      </c>
    </row>
    <row r="34" spans="1:16" x14ac:dyDescent="0.3">
      <c r="A34" s="2" t="s">
        <v>163</v>
      </c>
      <c r="B34" s="2" t="s">
        <v>27</v>
      </c>
      <c r="C34" s="2" t="s">
        <v>157</v>
      </c>
      <c r="D34" s="2" t="s">
        <v>117</v>
      </c>
      <c r="E34" s="2" t="s">
        <v>164</v>
      </c>
      <c r="F34" s="2" t="s">
        <v>21</v>
      </c>
      <c r="G34" s="2" t="s">
        <v>95</v>
      </c>
      <c r="H34" s="11">
        <v>45608</v>
      </c>
      <c r="I34" s="11">
        <v>45667</v>
      </c>
      <c r="J34" s="11">
        <v>45671</v>
      </c>
      <c r="K34" s="2" t="s">
        <v>132</v>
      </c>
      <c r="L34" s="2" t="s">
        <v>110</v>
      </c>
      <c r="M34" s="2">
        <v>71.3</v>
      </c>
      <c r="N34" s="2">
        <v>79.3</v>
      </c>
      <c r="O34" s="2"/>
      <c r="P34" s="2" t="s">
        <v>165</v>
      </c>
    </row>
    <row r="35" spans="1:16" x14ac:dyDescent="0.3">
      <c r="A35" s="5" t="s">
        <v>166</v>
      </c>
      <c r="B35" s="5" t="s">
        <v>35</v>
      </c>
      <c r="C35" s="5" t="s">
        <v>147</v>
      </c>
      <c r="D35" s="5" t="s">
        <v>167</v>
      </c>
      <c r="E35" s="5" t="s">
        <v>30</v>
      </c>
      <c r="F35" s="5" t="s">
        <v>105</v>
      </c>
      <c r="G35" s="5" t="s">
        <v>57</v>
      </c>
      <c r="H35" s="12">
        <v>45694</v>
      </c>
      <c r="I35" s="12">
        <v>45726</v>
      </c>
      <c r="J35" s="5"/>
      <c r="K35" s="5" t="s">
        <v>65</v>
      </c>
      <c r="L35" s="5"/>
      <c r="M35" s="5">
        <v>7.8</v>
      </c>
      <c r="N35" s="5"/>
      <c r="O35" s="5"/>
      <c r="P35" s="5" t="s">
        <v>168</v>
      </c>
    </row>
    <row r="36" spans="1:16" x14ac:dyDescent="0.3">
      <c r="A36" s="2" t="s">
        <v>169</v>
      </c>
      <c r="B36" s="2" t="s">
        <v>77</v>
      </c>
      <c r="C36" s="2" t="s">
        <v>137</v>
      </c>
      <c r="D36" s="2" t="s">
        <v>123</v>
      </c>
      <c r="E36" s="2" t="s">
        <v>170</v>
      </c>
      <c r="F36" s="2" t="s">
        <v>31</v>
      </c>
      <c r="G36" s="2" t="s">
        <v>39</v>
      </c>
      <c r="H36" s="4">
        <v>45682</v>
      </c>
      <c r="I36" s="4">
        <v>45715</v>
      </c>
      <c r="J36" s="2"/>
      <c r="K36" s="2" t="s">
        <v>106</v>
      </c>
      <c r="L36" s="2"/>
      <c r="M36" s="2">
        <v>67.099999999999994</v>
      </c>
      <c r="N36" s="2"/>
      <c r="O36" s="2"/>
      <c r="P36" s="2"/>
    </row>
    <row r="37" spans="1:16" x14ac:dyDescent="0.3">
      <c r="A37" s="5" t="s">
        <v>171</v>
      </c>
      <c r="B37" s="5" t="s">
        <v>43</v>
      </c>
      <c r="C37" s="5" t="s">
        <v>137</v>
      </c>
      <c r="D37" s="5" t="s">
        <v>37</v>
      </c>
      <c r="E37" s="5" t="s">
        <v>55</v>
      </c>
      <c r="F37" s="5" t="s">
        <v>56</v>
      </c>
      <c r="G37" s="5" t="s">
        <v>131</v>
      </c>
      <c r="H37" s="8">
        <v>45688</v>
      </c>
      <c r="I37" s="8">
        <v>45742</v>
      </c>
      <c r="J37" s="5"/>
      <c r="K37" s="5" t="s">
        <v>106</v>
      </c>
      <c r="L37" s="5"/>
      <c r="M37" s="5">
        <v>51.6</v>
      </c>
      <c r="N37" s="5">
        <v>0</v>
      </c>
      <c r="O37" s="5"/>
      <c r="P37" s="5"/>
    </row>
    <row r="38" spans="1:16" x14ac:dyDescent="0.3">
      <c r="A38" s="2" t="s">
        <v>172</v>
      </c>
      <c r="B38" s="2" t="s">
        <v>52</v>
      </c>
      <c r="C38" s="2" t="s">
        <v>147</v>
      </c>
      <c r="D38" s="2" t="s">
        <v>37</v>
      </c>
      <c r="E38" s="2" t="s">
        <v>87</v>
      </c>
      <c r="F38" s="2" t="s">
        <v>173</v>
      </c>
      <c r="G38" s="2" t="s">
        <v>174</v>
      </c>
      <c r="H38" s="3">
        <v>45366</v>
      </c>
      <c r="I38" s="3">
        <v>45380</v>
      </c>
      <c r="J38" s="2"/>
      <c r="K38" s="2" t="s">
        <v>65</v>
      </c>
      <c r="L38" s="2" t="s">
        <v>175</v>
      </c>
      <c r="M38" s="2">
        <v>8.9</v>
      </c>
      <c r="N38" s="2">
        <v>5.3</v>
      </c>
      <c r="O38" s="2"/>
      <c r="P38" s="2"/>
    </row>
    <row r="39" spans="1:16" x14ac:dyDescent="0.3">
      <c r="A39" s="5" t="s">
        <v>176</v>
      </c>
      <c r="B39" s="5" t="s">
        <v>27</v>
      </c>
      <c r="C39" s="5" t="s">
        <v>177</v>
      </c>
      <c r="D39" s="5" t="s">
        <v>100</v>
      </c>
      <c r="E39" s="5" t="s">
        <v>30</v>
      </c>
      <c r="F39" s="5" t="s">
        <v>56</v>
      </c>
      <c r="G39" s="5" t="s">
        <v>158</v>
      </c>
      <c r="H39" s="13">
        <v>45540</v>
      </c>
      <c r="I39" s="13">
        <v>45545</v>
      </c>
      <c r="J39" s="5"/>
      <c r="K39" s="5" t="s">
        <v>49</v>
      </c>
      <c r="L39" s="5" t="s">
        <v>178</v>
      </c>
      <c r="M39" s="5">
        <v>61.3</v>
      </c>
      <c r="N39" s="5">
        <v>0</v>
      </c>
      <c r="O39" s="5"/>
      <c r="P39" s="5" t="s">
        <v>83</v>
      </c>
    </row>
    <row r="40" spans="1:16" x14ac:dyDescent="0.3">
      <c r="A40" s="2" t="s">
        <v>179</v>
      </c>
      <c r="B40" s="2" t="s">
        <v>69</v>
      </c>
      <c r="C40" s="2" t="s">
        <v>147</v>
      </c>
      <c r="D40" s="2" t="s">
        <v>78</v>
      </c>
      <c r="E40" s="2" t="s">
        <v>55</v>
      </c>
      <c r="F40" s="2" t="s">
        <v>151</v>
      </c>
      <c r="G40" s="2" t="s">
        <v>109</v>
      </c>
      <c r="H40" s="4">
        <v>45544</v>
      </c>
      <c r="I40" s="4">
        <v>45550</v>
      </c>
      <c r="J40" s="2"/>
      <c r="K40" s="2" t="s">
        <v>40</v>
      </c>
      <c r="L40" s="2"/>
      <c r="M40" s="2">
        <v>55.6</v>
      </c>
      <c r="N40" s="2">
        <v>0</v>
      </c>
      <c r="O40" s="2"/>
      <c r="P40" s="2" t="s">
        <v>111</v>
      </c>
    </row>
    <row r="41" spans="1:16" x14ac:dyDescent="0.3">
      <c r="A41" s="5" t="s">
        <v>180</v>
      </c>
      <c r="B41" s="5" t="s">
        <v>43</v>
      </c>
      <c r="C41" s="5" t="s">
        <v>157</v>
      </c>
      <c r="D41" s="5" t="s">
        <v>29</v>
      </c>
      <c r="E41" s="5" t="s">
        <v>30</v>
      </c>
      <c r="F41" s="5" t="s">
        <v>105</v>
      </c>
      <c r="G41" s="5" t="s">
        <v>158</v>
      </c>
      <c r="H41" s="9">
        <v>45599</v>
      </c>
      <c r="I41" s="9">
        <v>45640</v>
      </c>
      <c r="J41" s="12">
        <v>45632</v>
      </c>
      <c r="K41" s="5" t="s">
        <v>152</v>
      </c>
      <c r="L41" s="5" t="s">
        <v>110</v>
      </c>
      <c r="M41" s="5">
        <v>14.3</v>
      </c>
      <c r="N41" s="5">
        <v>17.8</v>
      </c>
      <c r="O41" s="5"/>
      <c r="P41" s="5" t="s">
        <v>50</v>
      </c>
    </row>
    <row r="42" spans="1:16" x14ac:dyDescent="0.3">
      <c r="A42" s="2" t="s">
        <v>181</v>
      </c>
      <c r="B42" s="2" t="s">
        <v>142</v>
      </c>
      <c r="C42" s="2" t="s">
        <v>143</v>
      </c>
      <c r="D42" s="2" t="s">
        <v>78</v>
      </c>
      <c r="E42" s="2" t="s">
        <v>87</v>
      </c>
      <c r="F42" s="2" t="s">
        <v>173</v>
      </c>
      <c r="G42" s="2" t="s">
        <v>158</v>
      </c>
      <c r="H42" s="3">
        <v>45438</v>
      </c>
      <c r="I42" s="3">
        <v>45491</v>
      </c>
      <c r="J42" s="2"/>
      <c r="K42" s="2" t="s">
        <v>33</v>
      </c>
      <c r="L42" s="2">
        <v>21</v>
      </c>
      <c r="M42" s="2">
        <v>39.700000000000003</v>
      </c>
      <c r="N42" s="2"/>
      <c r="O42" s="2"/>
      <c r="P42" s="2" t="s">
        <v>83</v>
      </c>
    </row>
    <row r="43" spans="1:16" x14ac:dyDescent="0.3">
      <c r="A43" s="5" t="s">
        <v>182</v>
      </c>
      <c r="B43" s="5" t="s">
        <v>142</v>
      </c>
      <c r="C43" s="5" t="s">
        <v>147</v>
      </c>
      <c r="D43" s="5" t="s">
        <v>123</v>
      </c>
      <c r="E43" s="5" t="s">
        <v>79</v>
      </c>
      <c r="F43" s="5" t="s">
        <v>80</v>
      </c>
      <c r="G43" s="5" t="s">
        <v>81</v>
      </c>
      <c r="H43" s="12">
        <v>45682</v>
      </c>
      <c r="I43" s="12">
        <v>45688</v>
      </c>
      <c r="J43" s="5"/>
      <c r="K43" s="5" t="s">
        <v>65</v>
      </c>
      <c r="L43" s="5" t="s">
        <v>66</v>
      </c>
      <c r="M43" s="5">
        <v>22.1</v>
      </c>
      <c r="N43" s="5">
        <v>4</v>
      </c>
      <c r="O43" s="5"/>
      <c r="P43" s="5" t="s">
        <v>97</v>
      </c>
    </row>
    <row r="44" spans="1:16" x14ac:dyDescent="0.3">
      <c r="A44" s="2" t="s">
        <v>183</v>
      </c>
      <c r="B44" s="2" t="s">
        <v>52</v>
      </c>
      <c r="C44" s="2" t="s">
        <v>184</v>
      </c>
      <c r="D44" s="2" t="s">
        <v>167</v>
      </c>
      <c r="E44" s="2" t="s">
        <v>185</v>
      </c>
      <c r="F44" s="2" t="s">
        <v>80</v>
      </c>
      <c r="G44" s="2" t="s">
        <v>186</v>
      </c>
      <c r="H44" s="4">
        <v>45455</v>
      </c>
      <c r="I44" s="4">
        <v>45466</v>
      </c>
      <c r="J44" s="3">
        <v>45465</v>
      </c>
      <c r="K44" s="2" t="s">
        <v>152</v>
      </c>
      <c r="L44" s="2" t="s">
        <v>24</v>
      </c>
      <c r="M44" s="2">
        <v>55.5</v>
      </c>
      <c r="N44" s="2">
        <v>78.8</v>
      </c>
      <c r="O44" s="2"/>
      <c r="P44" s="2"/>
    </row>
    <row r="45" spans="1:16" x14ac:dyDescent="0.3">
      <c r="A45" s="5" t="s">
        <v>187</v>
      </c>
      <c r="B45" s="5" t="s">
        <v>69</v>
      </c>
      <c r="C45" s="5" t="s">
        <v>147</v>
      </c>
      <c r="D45" s="5" t="s">
        <v>129</v>
      </c>
      <c r="E45" s="5" t="s">
        <v>91</v>
      </c>
      <c r="F45" s="5" t="s">
        <v>56</v>
      </c>
      <c r="G45" s="5" t="s">
        <v>57</v>
      </c>
      <c r="H45" s="9">
        <v>45585</v>
      </c>
      <c r="I45" s="9">
        <v>45640</v>
      </c>
      <c r="J45" s="8">
        <v>45641</v>
      </c>
      <c r="K45" s="5" t="s">
        <v>124</v>
      </c>
      <c r="L45" s="5" t="s">
        <v>24</v>
      </c>
      <c r="M45" s="5">
        <v>36.6</v>
      </c>
      <c r="N45" s="5">
        <v>36.4</v>
      </c>
      <c r="O45" s="5"/>
      <c r="P45" s="5" t="s">
        <v>88</v>
      </c>
    </row>
    <row r="46" spans="1:16" x14ac:dyDescent="0.3">
      <c r="A46" s="2" t="s">
        <v>188</v>
      </c>
      <c r="B46" s="2" t="s">
        <v>35</v>
      </c>
      <c r="C46" s="2" t="s">
        <v>108</v>
      </c>
      <c r="D46" s="2" t="s">
        <v>129</v>
      </c>
      <c r="E46" s="2" t="s">
        <v>138</v>
      </c>
      <c r="F46" s="2" t="s">
        <v>173</v>
      </c>
      <c r="G46" s="2" t="s">
        <v>64</v>
      </c>
      <c r="H46" s="10">
        <v>45658</v>
      </c>
      <c r="I46" s="10">
        <v>45672</v>
      </c>
      <c r="J46" s="2"/>
      <c r="K46" s="2" t="s">
        <v>33</v>
      </c>
      <c r="L46" s="2"/>
      <c r="M46" s="2">
        <v>43.7</v>
      </c>
      <c r="N46" s="2"/>
      <c r="O46" s="2"/>
      <c r="P46" s="2" t="s">
        <v>41</v>
      </c>
    </row>
    <row r="47" spans="1:16" x14ac:dyDescent="0.3">
      <c r="A47" s="5" t="s">
        <v>189</v>
      </c>
      <c r="B47" s="5" t="s">
        <v>90</v>
      </c>
      <c r="C47" s="5" t="s">
        <v>108</v>
      </c>
      <c r="D47" s="5" t="s">
        <v>78</v>
      </c>
      <c r="E47" s="5" t="s">
        <v>138</v>
      </c>
      <c r="F47" s="5" t="s">
        <v>56</v>
      </c>
      <c r="G47" s="5" t="s">
        <v>131</v>
      </c>
      <c r="H47" s="8">
        <v>45461</v>
      </c>
      <c r="I47" s="8">
        <v>45520</v>
      </c>
      <c r="J47" s="5"/>
      <c r="K47" s="5" t="s">
        <v>65</v>
      </c>
      <c r="L47" s="5" t="s">
        <v>190</v>
      </c>
      <c r="M47" s="5">
        <v>61</v>
      </c>
      <c r="N47" s="5">
        <v>37.299999999999997</v>
      </c>
      <c r="O47" s="5"/>
      <c r="P47" s="5" t="s">
        <v>155</v>
      </c>
    </row>
    <row r="48" spans="1:16" x14ac:dyDescent="0.3">
      <c r="A48" s="2" t="s">
        <v>191</v>
      </c>
      <c r="B48" s="2" t="s">
        <v>43</v>
      </c>
      <c r="C48" s="2" t="s">
        <v>36</v>
      </c>
      <c r="D48" s="2" t="s">
        <v>167</v>
      </c>
      <c r="E48" s="2" t="s">
        <v>71</v>
      </c>
      <c r="F48" s="2" t="s">
        <v>21</v>
      </c>
      <c r="G48" s="2" t="s">
        <v>192</v>
      </c>
      <c r="H48" s="3">
        <v>45428</v>
      </c>
      <c r="I48" s="3">
        <v>45454</v>
      </c>
      <c r="J48" s="2"/>
      <c r="K48" s="2" t="s">
        <v>193</v>
      </c>
      <c r="L48" s="2"/>
      <c r="M48" s="2">
        <v>57.3</v>
      </c>
      <c r="N48" s="2">
        <v>0</v>
      </c>
      <c r="O48" s="2"/>
      <c r="P48" s="2" t="s">
        <v>83</v>
      </c>
    </row>
    <row r="49" spans="1:16" x14ac:dyDescent="0.3">
      <c r="A49" s="5" t="s">
        <v>194</v>
      </c>
      <c r="B49" s="5" t="s">
        <v>90</v>
      </c>
      <c r="C49" s="5" t="s">
        <v>143</v>
      </c>
      <c r="D49" s="5" t="s">
        <v>129</v>
      </c>
      <c r="E49" s="5" t="s">
        <v>55</v>
      </c>
      <c r="F49" s="5" t="s">
        <v>195</v>
      </c>
      <c r="G49" s="5" t="s">
        <v>109</v>
      </c>
      <c r="H49" s="12">
        <v>45546</v>
      </c>
      <c r="I49" s="12">
        <v>45586</v>
      </c>
      <c r="J49" s="5"/>
      <c r="K49" s="5" t="s">
        <v>65</v>
      </c>
      <c r="L49" s="5"/>
      <c r="M49" s="5">
        <v>64.3</v>
      </c>
      <c r="N49" s="5"/>
      <c r="O49" s="5"/>
      <c r="P49" s="5" t="s">
        <v>103</v>
      </c>
    </row>
    <row r="50" spans="1:16" x14ac:dyDescent="0.3">
      <c r="A50" s="2" t="s">
        <v>196</v>
      </c>
      <c r="B50" s="2" t="s">
        <v>27</v>
      </c>
      <c r="C50" s="2" t="s">
        <v>99</v>
      </c>
      <c r="D50" s="2" t="s">
        <v>123</v>
      </c>
      <c r="E50" s="2" t="s">
        <v>101</v>
      </c>
      <c r="F50" s="2" t="s">
        <v>102</v>
      </c>
      <c r="G50" s="2" t="s">
        <v>92</v>
      </c>
      <c r="H50" s="7">
        <v>45472</v>
      </c>
      <c r="I50" s="7">
        <v>45504</v>
      </c>
      <c r="J50" s="2"/>
      <c r="K50" s="2" t="s">
        <v>197</v>
      </c>
      <c r="L50" s="2" t="s">
        <v>178</v>
      </c>
      <c r="M50" s="2">
        <v>57.4</v>
      </c>
      <c r="N50" s="2">
        <v>0</v>
      </c>
      <c r="O50" s="2"/>
      <c r="P50" s="2" t="s">
        <v>159</v>
      </c>
    </row>
    <row r="51" spans="1:16" x14ac:dyDescent="0.3">
      <c r="A51" s="5" t="s">
        <v>198</v>
      </c>
      <c r="B51" s="5" t="s">
        <v>27</v>
      </c>
      <c r="C51" s="5" t="s">
        <v>44</v>
      </c>
      <c r="D51" s="5" t="s">
        <v>19</v>
      </c>
      <c r="E51" s="5" t="s">
        <v>130</v>
      </c>
      <c r="F51" s="5" t="s">
        <v>173</v>
      </c>
      <c r="G51" s="5" t="s">
        <v>57</v>
      </c>
      <c r="H51" s="8">
        <v>45676</v>
      </c>
      <c r="I51" s="8">
        <v>45715</v>
      </c>
      <c r="J51" s="5"/>
      <c r="K51" s="5" t="s">
        <v>82</v>
      </c>
      <c r="L51" s="5" t="s">
        <v>199</v>
      </c>
      <c r="M51" s="5">
        <v>59.1</v>
      </c>
      <c r="N51" s="5">
        <v>28.9</v>
      </c>
      <c r="O51" s="5"/>
      <c r="P51" s="5" t="s">
        <v>159</v>
      </c>
    </row>
    <row r="52" spans="1:16" x14ac:dyDescent="0.3">
      <c r="A52" s="2" t="s">
        <v>200</v>
      </c>
      <c r="B52" s="2" t="s">
        <v>27</v>
      </c>
      <c r="C52" s="2" t="s">
        <v>99</v>
      </c>
      <c r="D52" s="2" t="s">
        <v>70</v>
      </c>
      <c r="E52" s="2" t="s">
        <v>101</v>
      </c>
      <c r="F52" s="2" t="s">
        <v>63</v>
      </c>
      <c r="G52" s="2" t="s">
        <v>48</v>
      </c>
      <c r="H52" s="11">
        <v>45303</v>
      </c>
      <c r="I52" s="11">
        <v>45353</v>
      </c>
      <c r="J52" s="2"/>
      <c r="K52" s="2" t="s">
        <v>73</v>
      </c>
      <c r="L52" s="2" t="s">
        <v>201</v>
      </c>
      <c r="M52" s="2">
        <v>57</v>
      </c>
      <c r="N52" s="2"/>
      <c r="O52" s="2"/>
      <c r="P52" s="2"/>
    </row>
    <row r="53" spans="1:16" x14ac:dyDescent="0.3">
      <c r="A53" s="5" t="s">
        <v>202</v>
      </c>
      <c r="B53" s="5" t="s">
        <v>17</v>
      </c>
      <c r="C53" s="5" t="s">
        <v>18</v>
      </c>
      <c r="D53" s="5" t="s">
        <v>29</v>
      </c>
      <c r="E53" s="5" t="s">
        <v>91</v>
      </c>
      <c r="F53" s="5" t="s">
        <v>102</v>
      </c>
      <c r="G53" s="5" t="s">
        <v>95</v>
      </c>
      <c r="H53" s="8">
        <v>45521</v>
      </c>
      <c r="I53" s="8">
        <v>45547</v>
      </c>
      <c r="J53" s="5"/>
      <c r="K53" s="5" t="s">
        <v>82</v>
      </c>
      <c r="L53" s="5">
        <v>16</v>
      </c>
      <c r="M53" s="5">
        <v>66.5</v>
      </c>
      <c r="N53" s="5">
        <v>6.3</v>
      </c>
      <c r="O53" s="5"/>
      <c r="P53" s="5" t="s">
        <v>135</v>
      </c>
    </row>
    <row r="54" spans="1:16" x14ac:dyDescent="0.3">
      <c r="A54" s="2" t="s">
        <v>203</v>
      </c>
      <c r="B54" s="2" t="s">
        <v>77</v>
      </c>
      <c r="C54" s="2" t="s">
        <v>157</v>
      </c>
      <c r="D54" s="2" t="s">
        <v>86</v>
      </c>
      <c r="E54" s="2" t="s">
        <v>91</v>
      </c>
      <c r="F54" s="2" t="s">
        <v>47</v>
      </c>
      <c r="G54" s="2" t="s">
        <v>22</v>
      </c>
      <c r="H54" s="10">
        <v>45356</v>
      </c>
      <c r="I54" s="10">
        <v>45396</v>
      </c>
      <c r="J54" s="2"/>
      <c r="K54" s="2" t="s">
        <v>33</v>
      </c>
      <c r="L54" s="2"/>
      <c r="M54" s="2">
        <v>32.9</v>
      </c>
      <c r="N54" s="2">
        <v>0</v>
      </c>
      <c r="O54" s="2"/>
      <c r="P54" s="2" t="s">
        <v>159</v>
      </c>
    </row>
    <row r="55" spans="1:16" x14ac:dyDescent="0.3">
      <c r="A55" s="5" t="s">
        <v>204</v>
      </c>
      <c r="B55" s="5" t="s">
        <v>35</v>
      </c>
      <c r="C55" s="5" t="s">
        <v>99</v>
      </c>
      <c r="D55" s="5" t="s">
        <v>29</v>
      </c>
      <c r="E55" s="5" t="s">
        <v>164</v>
      </c>
      <c r="F55" s="5" t="s">
        <v>154</v>
      </c>
      <c r="G55" s="5" t="s">
        <v>57</v>
      </c>
      <c r="H55" s="12">
        <v>45686</v>
      </c>
      <c r="I55" s="12">
        <v>45704</v>
      </c>
      <c r="J55" s="5"/>
      <c r="K55" s="5" t="s">
        <v>115</v>
      </c>
      <c r="L55" s="5" t="s">
        <v>96</v>
      </c>
      <c r="M55" s="5">
        <v>22.2</v>
      </c>
      <c r="N55" s="5">
        <v>4.8</v>
      </c>
      <c r="O55" s="5"/>
      <c r="P55" s="5"/>
    </row>
    <row r="56" spans="1:16" x14ac:dyDescent="0.3">
      <c r="A56" s="2" t="s">
        <v>205</v>
      </c>
      <c r="B56" s="2" t="s">
        <v>69</v>
      </c>
      <c r="C56" s="2" t="s">
        <v>108</v>
      </c>
      <c r="D56" s="2" t="s">
        <v>37</v>
      </c>
      <c r="E56" s="2" t="s">
        <v>164</v>
      </c>
      <c r="F56" s="2" t="s">
        <v>21</v>
      </c>
      <c r="G56" s="2" t="s">
        <v>48</v>
      </c>
      <c r="H56" s="10">
        <v>45657</v>
      </c>
      <c r="I56" s="10">
        <v>45680</v>
      </c>
      <c r="J56" s="2"/>
      <c r="K56" s="2" t="s">
        <v>58</v>
      </c>
      <c r="L56" s="2"/>
      <c r="M56" s="2">
        <v>21.7</v>
      </c>
      <c r="N56" s="2">
        <v>0</v>
      </c>
      <c r="O56" s="2"/>
      <c r="P56" s="2" t="s">
        <v>135</v>
      </c>
    </row>
    <row r="57" spans="1:16" x14ac:dyDescent="0.3">
      <c r="A57" s="5" t="s">
        <v>206</v>
      </c>
      <c r="B57" s="5" t="s">
        <v>27</v>
      </c>
      <c r="C57" s="5" t="s">
        <v>177</v>
      </c>
      <c r="D57" s="5" t="s">
        <v>129</v>
      </c>
      <c r="E57" s="5" t="s">
        <v>55</v>
      </c>
      <c r="F57" s="5" t="s">
        <v>144</v>
      </c>
      <c r="G57" s="5" t="s">
        <v>126</v>
      </c>
      <c r="H57" s="8">
        <v>45432</v>
      </c>
      <c r="I57" s="8">
        <v>45489</v>
      </c>
      <c r="J57" s="5"/>
      <c r="K57" s="5" t="s">
        <v>73</v>
      </c>
      <c r="L57" s="5" t="s">
        <v>207</v>
      </c>
      <c r="M57" s="5">
        <v>49.2</v>
      </c>
      <c r="N57" s="5">
        <v>40.9</v>
      </c>
      <c r="O57" s="5"/>
      <c r="P57" s="5"/>
    </row>
    <row r="58" spans="1:16" x14ac:dyDescent="0.3">
      <c r="A58" s="2" t="s">
        <v>208</v>
      </c>
      <c r="B58" s="2" t="s">
        <v>43</v>
      </c>
      <c r="C58" s="2" t="s">
        <v>99</v>
      </c>
      <c r="D58" s="2" t="s">
        <v>19</v>
      </c>
      <c r="E58" s="2" t="s">
        <v>46</v>
      </c>
      <c r="F58" s="2" t="s">
        <v>151</v>
      </c>
      <c r="G58" s="2" t="s">
        <v>92</v>
      </c>
      <c r="H58" s="7">
        <v>45572</v>
      </c>
      <c r="I58" s="7">
        <v>45608</v>
      </c>
      <c r="J58" s="2"/>
      <c r="K58" s="2" t="s">
        <v>58</v>
      </c>
      <c r="L58" s="2"/>
      <c r="M58" s="2">
        <v>7</v>
      </c>
      <c r="N58" s="2">
        <v>0</v>
      </c>
      <c r="O58" s="2"/>
      <c r="P58" s="2" t="s">
        <v>111</v>
      </c>
    </row>
    <row r="59" spans="1:16" x14ac:dyDescent="0.3">
      <c r="A59" s="5" t="s">
        <v>209</v>
      </c>
      <c r="B59" s="5" t="s">
        <v>69</v>
      </c>
      <c r="C59" s="5" t="s">
        <v>85</v>
      </c>
      <c r="D59" s="5" t="s">
        <v>117</v>
      </c>
      <c r="E59" s="5" t="s">
        <v>79</v>
      </c>
      <c r="F59" s="5" t="s">
        <v>21</v>
      </c>
      <c r="G59" s="5" t="s">
        <v>139</v>
      </c>
      <c r="H59" s="13">
        <v>45687</v>
      </c>
      <c r="I59" s="13">
        <v>45735</v>
      </c>
      <c r="J59" s="5"/>
      <c r="K59" s="5" t="s">
        <v>193</v>
      </c>
      <c r="L59" s="5"/>
      <c r="M59" s="5">
        <v>7.1</v>
      </c>
      <c r="N59" s="5"/>
      <c r="O59" s="5"/>
      <c r="P59" s="5" t="s">
        <v>210</v>
      </c>
    </row>
    <row r="60" spans="1:16" x14ac:dyDescent="0.3">
      <c r="A60" s="2" t="s">
        <v>211</v>
      </c>
      <c r="B60" s="2" t="s">
        <v>43</v>
      </c>
      <c r="C60" s="2" t="s">
        <v>85</v>
      </c>
      <c r="D60" s="2" t="s">
        <v>167</v>
      </c>
      <c r="E60" s="2" t="s">
        <v>138</v>
      </c>
      <c r="F60" s="2" t="s">
        <v>144</v>
      </c>
      <c r="G60" s="2" t="s">
        <v>95</v>
      </c>
      <c r="H60" s="4">
        <v>45342</v>
      </c>
      <c r="I60" s="4">
        <v>45377</v>
      </c>
      <c r="J60" s="2"/>
      <c r="K60" s="2" t="s">
        <v>49</v>
      </c>
      <c r="L60" s="2"/>
      <c r="M60" s="2">
        <v>29.3</v>
      </c>
      <c r="N60" s="2"/>
      <c r="O60" s="2"/>
      <c r="P60" s="2" t="s">
        <v>168</v>
      </c>
    </row>
    <row r="61" spans="1:16" x14ac:dyDescent="0.3">
      <c r="A61" s="5" t="s">
        <v>212</v>
      </c>
      <c r="B61" s="5" t="s">
        <v>142</v>
      </c>
      <c r="C61" s="5" t="s">
        <v>177</v>
      </c>
      <c r="D61" s="5" t="s">
        <v>19</v>
      </c>
      <c r="E61" s="5" t="s">
        <v>71</v>
      </c>
      <c r="F61" s="5" t="s">
        <v>151</v>
      </c>
      <c r="G61" s="5" t="s">
        <v>158</v>
      </c>
      <c r="H61" s="12">
        <v>45685</v>
      </c>
      <c r="I61" s="12">
        <v>45725</v>
      </c>
      <c r="J61" s="13">
        <v>45729</v>
      </c>
      <c r="K61" s="5" t="s">
        <v>124</v>
      </c>
      <c r="L61" s="5">
        <v>100</v>
      </c>
      <c r="M61" s="5">
        <v>27.9</v>
      </c>
      <c r="N61" s="5">
        <v>25.8</v>
      </c>
      <c r="O61" s="5"/>
      <c r="P61" s="5"/>
    </row>
    <row r="62" spans="1:16" x14ac:dyDescent="0.3">
      <c r="A62" s="2" t="s">
        <v>213</v>
      </c>
      <c r="B62" s="2" t="s">
        <v>113</v>
      </c>
      <c r="C62" s="2" t="s">
        <v>137</v>
      </c>
      <c r="D62" s="2" t="s">
        <v>100</v>
      </c>
      <c r="E62" s="2" t="s">
        <v>164</v>
      </c>
      <c r="F62" s="2" t="s">
        <v>21</v>
      </c>
      <c r="G62" s="2" t="s">
        <v>92</v>
      </c>
      <c r="H62" s="7">
        <v>45481</v>
      </c>
      <c r="I62" s="7">
        <v>45525</v>
      </c>
      <c r="J62" s="2"/>
      <c r="K62" s="2" t="s">
        <v>118</v>
      </c>
      <c r="L62" s="2"/>
      <c r="M62" s="2">
        <v>37.6</v>
      </c>
      <c r="N62" s="2"/>
      <c r="O62" s="2"/>
      <c r="P62" s="2" t="s">
        <v>97</v>
      </c>
    </row>
    <row r="63" spans="1:16" x14ac:dyDescent="0.3">
      <c r="A63" s="5" t="s">
        <v>214</v>
      </c>
      <c r="B63" s="5" t="s">
        <v>90</v>
      </c>
      <c r="C63" s="5" t="s">
        <v>157</v>
      </c>
      <c r="D63" s="5" t="s">
        <v>45</v>
      </c>
      <c r="E63" s="5" t="s">
        <v>91</v>
      </c>
      <c r="F63" s="5" t="s">
        <v>102</v>
      </c>
      <c r="G63" s="5" t="s">
        <v>95</v>
      </c>
      <c r="H63" s="12">
        <v>45358</v>
      </c>
      <c r="I63" s="12">
        <v>45364</v>
      </c>
      <c r="J63" s="5"/>
      <c r="K63" s="5" t="s">
        <v>65</v>
      </c>
      <c r="L63" s="5">
        <v>30</v>
      </c>
      <c r="M63" s="5">
        <v>46</v>
      </c>
      <c r="N63" s="5"/>
      <c r="O63" s="5"/>
      <c r="P63" s="5" t="s">
        <v>168</v>
      </c>
    </row>
    <row r="64" spans="1:16" x14ac:dyDescent="0.3">
      <c r="A64" s="2" t="s">
        <v>215</v>
      </c>
      <c r="B64" s="2" t="s">
        <v>17</v>
      </c>
      <c r="C64" s="2" t="s">
        <v>157</v>
      </c>
      <c r="D64" s="2" t="s">
        <v>78</v>
      </c>
      <c r="E64" s="2" t="s">
        <v>91</v>
      </c>
      <c r="F64" s="2" t="s">
        <v>31</v>
      </c>
      <c r="G64" s="2" t="s">
        <v>131</v>
      </c>
      <c r="H64" s="11">
        <v>45508</v>
      </c>
      <c r="I64" s="11">
        <v>45566</v>
      </c>
      <c r="J64" s="2"/>
      <c r="K64" s="2" t="s">
        <v>118</v>
      </c>
      <c r="L64" s="2"/>
      <c r="M64" s="2">
        <v>22.5</v>
      </c>
      <c r="N64" s="2"/>
      <c r="O64" s="2"/>
      <c r="P64" s="2" t="s">
        <v>216</v>
      </c>
    </row>
    <row r="65" spans="1:16" x14ac:dyDescent="0.3">
      <c r="A65" s="5" t="s">
        <v>217</v>
      </c>
      <c r="B65" s="5" t="s">
        <v>27</v>
      </c>
      <c r="C65" s="5" t="s">
        <v>28</v>
      </c>
      <c r="D65" s="5" t="s">
        <v>19</v>
      </c>
      <c r="E65" s="5" t="s">
        <v>38</v>
      </c>
      <c r="F65" s="5" t="s">
        <v>56</v>
      </c>
      <c r="G65" s="5" t="s">
        <v>174</v>
      </c>
      <c r="H65" s="9">
        <v>45437</v>
      </c>
      <c r="I65" s="9">
        <v>45491</v>
      </c>
      <c r="J65" s="5"/>
      <c r="K65" s="5" t="s">
        <v>33</v>
      </c>
      <c r="L65" s="5"/>
      <c r="M65" s="5">
        <v>24.3</v>
      </c>
      <c r="N65" s="5"/>
      <c r="O65" s="5"/>
      <c r="P65" s="5" t="s">
        <v>159</v>
      </c>
    </row>
    <row r="66" spans="1:16" x14ac:dyDescent="0.3">
      <c r="A66" s="2" t="s">
        <v>218</v>
      </c>
      <c r="B66" s="2" t="s">
        <v>69</v>
      </c>
      <c r="C66" s="2" t="s">
        <v>108</v>
      </c>
      <c r="D66" s="2" t="s">
        <v>54</v>
      </c>
      <c r="E66" s="2" t="s">
        <v>38</v>
      </c>
      <c r="F66" s="2" t="s">
        <v>102</v>
      </c>
      <c r="G66" s="2" t="s">
        <v>95</v>
      </c>
      <c r="H66" s="10">
        <v>45472</v>
      </c>
      <c r="I66" s="10">
        <v>45498</v>
      </c>
      <c r="J66" s="2"/>
      <c r="K66" s="2" t="s">
        <v>40</v>
      </c>
      <c r="L66" s="2"/>
      <c r="M66" s="2">
        <v>70.099999999999994</v>
      </c>
      <c r="N66" s="2"/>
      <c r="O66" s="2"/>
      <c r="P66" s="2" t="s">
        <v>103</v>
      </c>
    </row>
    <row r="67" spans="1:16" x14ac:dyDescent="0.3">
      <c r="A67" s="5" t="s">
        <v>219</v>
      </c>
      <c r="B67" s="5" t="s">
        <v>35</v>
      </c>
      <c r="C67" s="5" t="s">
        <v>147</v>
      </c>
      <c r="D67" s="5" t="s">
        <v>54</v>
      </c>
      <c r="E67" s="5" t="s">
        <v>138</v>
      </c>
      <c r="F67" s="5" t="s">
        <v>121</v>
      </c>
      <c r="G67" s="5" t="s">
        <v>39</v>
      </c>
      <c r="H67" s="12">
        <v>45677</v>
      </c>
      <c r="I67" s="12">
        <v>45712</v>
      </c>
      <c r="J67" s="5"/>
      <c r="K67" s="5" t="s">
        <v>40</v>
      </c>
      <c r="L67" s="5"/>
      <c r="M67" s="5">
        <v>64.2</v>
      </c>
      <c r="N67" s="5"/>
      <c r="O67" s="5"/>
      <c r="P67" s="5" t="s">
        <v>216</v>
      </c>
    </row>
    <row r="68" spans="1:16" x14ac:dyDescent="0.3">
      <c r="A68" s="2" t="s">
        <v>220</v>
      </c>
      <c r="B68" s="2" t="s">
        <v>113</v>
      </c>
      <c r="C68" s="2" t="s">
        <v>157</v>
      </c>
      <c r="D68" s="2" t="s">
        <v>62</v>
      </c>
      <c r="E68" s="2" t="s">
        <v>87</v>
      </c>
      <c r="F68" s="2" t="s">
        <v>56</v>
      </c>
      <c r="G68" s="2" t="s">
        <v>57</v>
      </c>
      <c r="H68" s="4">
        <v>45521</v>
      </c>
      <c r="I68" s="4">
        <v>45532</v>
      </c>
      <c r="J68" s="2"/>
      <c r="K68" s="2" t="s">
        <v>106</v>
      </c>
      <c r="L68" s="2"/>
      <c r="M68" s="2">
        <v>5.2</v>
      </c>
      <c r="N68" s="2"/>
      <c r="O68" s="2"/>
      <c r="P68" s="2"/>
    </row>
    <row r="69" spans="1:16" x14ac:dyDescent="0.3">
      <c r="A69" s="5" t="s">
        <v>221</v>
      </c>
      <c r="B69" s="5" t="s">
        <v>17</v>
      </c>
      <c r="C69" s="5" t="s">
        <v>108</v>
      </c>
      <c r="D69" s="5" t="s">
        <v>86</v>
      </c>
      <c r="E69" s="5" t="s">
        <v>20</v>
      </c>
      <c r="F69" s="5" t="s">
        <v>173</v>
      </c>
      <c r="G69" s="5" t="s">
        <v>158</v>
      </c>
      <c r="H69" s="12">
        <v>45628</v>
      </c>
      <c r="I69" s="12">
        <v>45638</v>
      </c>
      <c r="J69" s="5"/>
      <c r="K69" s="5" t="s">
        <v>197</v>
      </c>
      <c r="L69" s="5"/>
      <c r="M69" s="5">
        <v>32.9</v>
      </c>
      <c r="N69" s="5">
        <v>0</v>
      </c>
      <c r="O69" s="5"/>
      <c r="P69" s="5" t="s">
        <v>135</v>
      </c>
    </row>
    <row r="70" spans="1:16" x14ac:dyDescent="0.3">
      <c r="A70" s="2" t="s">
        <v>222</v>
      </c>
      <c r="B70" s="2" t="s">
        <v>90</v>
      </c>
      <c r="C70" s="2" t="s">
        <v>94</v>
      </c>
      <c r="D70" s="2" t="s">
        <v>29</v>
      </c>
      <c r="E70" s="2" t="s">
        <v>79</v>
      </c>
      <c r="F70" s="2" t="s">
        <v>21</v>
      </c>
      <c r="G70" s="2" t="s">
        <v>48</v>
      </c>
      <c r="H70" s="11">
        <v>45412</v>
      </c>
      <c r="I70" s="11">
        <v>45464</v>
      </c>
      <c r="J70" s="4">
        <v>45467</v>
      </c>
      <c r="K70" s="2" t="s">
        <v>132</v>
      </c>
      <c r="L70" s="2">
        <v>100</v>
      </c>
      <c r="M70" s="2">
        <v>61.8</v>
      </c>
      <c r="N70" s="2">
        <v>75</v>
      </c>
      <c r="O70" s="2"/>
      <c r="P70" s="2" t="s">
        <v>168</v>
      </c>
    </row>
    <row r="71" spans="1:16" x14ac:dyDescent="0.3">
      <c r="A71" s="5" t="s">
        <v>223</v>
      </c>
      <c r="B71" s="5" t="s">
        <v>52</v>
      </c>
      <c r="C71" s="5" t="s">
        <v>18</v>
      </c>
      <c r="D71" s="5" t="s">
        <v>117</v>
      </c>
      <c r="E71" s="5" t="s">
        <v>87</v>
      </c>
      <c r="F71" s="5" t="s">
        <v>80</v>
      </c>
      <c r="G71" s="5" t="s">
        <v>81</v>
      </c>
      <c r="H71" s="13">
        <v>45446</v>
      </c>
      <c r="I71" s="13">
        <v>45473</v>
      </c>
      <c r="J71" s="5"/>
      <c r="K71" s="5" t="s">
        <v>49</v>
      </c>
      <c r="L71" s="5"/>
      <c r="M71" s="5">
        <v>15.1</v>
      </c>
      <c r="N71" s="5"/>
      <c r="O71" s="5"/>
      <c r="P71" s="5"/>
    </row>
    <row r="72" spans="1:16" x14ac:dyDescent="0.3">
      <c r="A72" s="2" t="s">
        <v>224</v>
      </c>
      <c r="B72" s="2" t="s">
        <v>77</v>
      </c>
      <c r="C72" s="2" t="s">
        <v>61</v>
      </c>
      <c r="D72" s="2" t="s">
        <v>167</v>
      </c>
      <c r="E72" s="2" t="s">
        <v>79</v>
      </c>
      <c r="F72" s="2" t="s">
        <v>154</v>
      </c>
      <c r="G72" s="2" t="s">
        <v>158</v>
      </c>
      <c r="H72" s="3">
        <v>45613</v>
      </c>
      <c r="I72" s="3">
        <v>45661</v>
      </c>
      <c r="J72" s="2"/>
      <c r="K72" s="2" t="s">
        <v>65</v>
      </c>
      <c r="L72" s="2" t="s">
        <v>225</v>
      </c>
      <c r="M72" s="2">
        <v>21.6</v>
      </c>
      <c r="N72" s="2">
        <v>10</v>
      </c>
      <c r="O72" s="2"/>
      <c r="P72" s="2" t="s">
        <v>59</v>
      </c>
    </row>
    <row r="73" spans="1:16" x14ac:dyDescent="0.3">
      <c r="A73" s="5" t="s">
        <v>226</v>
      </c>
      <c r="B73" s="5" t="s">
        <v>43</v>
      </c>
      <c r="C73" s="5" t="s">
        <v>99</v>
      </c>
      <c r="D73" s="5" t="s">
        <v>123</v>
      </c>
      <c r="E73" s="5" t="s">
        <v>227</v>
      </c>
      <c r="F73" s="5" t="s">
        <v>47</v>
      </c>
      <c r="G73" s="5" t="s">
        <v>64</v>
      </c>
      <c r="H73" s="6">
        <v>45472</v>
      </c>
      <c r="I73" s="6">
        <v>45514</v>
      </c>
      <c r="J73" s="5"/>
      <c r="K73" s="5" t="s">
        <v>127</v>
      </c>
      <c r="L73" s="5"/>
      <c r="M73" s="5">
        <v>56.5</v>
      </c>
      <c r="N73" s="5">
        <v>0</v>
      </c>
      <c r="O73" s="5"/>
      <c r="P73" s="5" t="s">
        <v>159</v>
      </c>
    </row>
    <row r="74" spans="1:16" x14ac:dyDescent="0.3">
      <c r="A74" s="2" t="s">
        <v>228</v>
      </c>
      <c r="B74" s="2" t="s">
        <v>35</v>
      </c>
      <c r="C74" s="2" t="s">
        <v>108</v>
      </c>
      <c r="D74" s="2" t="s">
        <v>129</v>
      </c>
      <c r="E74" s="2" t="s">
        <v>55</v>
      </c>
      <c r="F74" s="2" t="s">
        <v>72</v>
      </c>
      <c r="G74" s="2" t="s">
        <v>192</v>
      </c>
      <c r="H74" s="7">
        <v>45590</v>
      </c>
      <c r="I74" s="7">
        <v>45613</v>
      </c>
      <c r="J74" s="2"/>
      <c r="K74" s="2" t="s">
        <v>127</v>
      </c>
      <c r="L74" s="2">
        <v>0</v>
      </c>
      <c r="M74" s="2">
        <v>78.3</v>
      </c>
      <c r="N74" s="2"/>
      <c r="O74" s="2"/>
      <c r="P74" s="2"/>
    </row>
    <row r="75" spans="1:16" x14ac:dyDescent="0.3">
      <c r="A75" s="5" t="s">
        <v>229</v>
      </c>
      <c r="B75" s="5" t="s">
        <v>113</v>
      </c>
      <c r="C75" s="5" t="s">
        <v>94</v>
      </c>
      <c r="D75" s="5" t="s">
        <v>45</v>
      </c>
      <c r="E75" s="5" t="s">
        <v>71</v>
      </c>
      <c r="F75" s="5" t="s">
        <v>56</v>
      </c>
      <c r="G75" s="5" t="s">
        <v>48</v>
      </c>
      <c r="H75" s="6">
        <v>45693</v>
      </c>
      <c r="I75" s="6">
        <v>45749</v>
      </c>
      <c r="J75" s="5"/>
      <c r="K75" s="5" t="s">
        <v>65</v>
      </c>
      <c r="L75" s="5" t="s">
        <v>230</v>
      </c>
      <c r="M75" s="5">
        <v>52.4</v>
      </c>
      <c r="N75" s="5">
        <v>32.6</v>
      </c>
      <c r="O75" s="5"/>
      <c r="P75" s="5" t="s">
        <v>111</v>
      </c>
    </row>
    <row r="76" spans="1:16" x14ac:dyDescent="0.3">
      <c r="A76" s="2" t="s">
        <v>231</v>
      </c>
      <c r="B76" s="2" t="s">
        <v>17</v>
      </c>
      <c r="C76" s="2" t="s">
        <v>94</v>
      </c>
      <c r="D76" s="2" t="s">
        <v>37</v>
      </c>
      <c r="E76" s="2" t="s">
        <v>161</v>
      </c>
      <c r="F76" s="2" t="s">
        <v>121</v>
      </c>
      <c r="G76" s="2" t="s">
        <v>192</v>
      </c>
      <c r="H76" s="10">
        <v>45670</v>
      </c>
      <c r="I76" s="10">
        <v>45683</v>
      </c>
      <c r="J76" s="7">
        <v>45682</v>
      </c>
      <c r="K76" s="2" t="s">
        <v>132</v>
      </c>
      <c r="L76" s="2">
        <v>100</v>
      </c>
      <c r="M76" s="2">
        <v>60.8</v>
      </c>
      <c r="N76" s="2">
        <v>52.8</v>
      </c>
      <c r="O76" s="2"/>
      <c r="P76" s="2" t="s">
        <v>216</v>
      </c>
    </row>
    <row r="77" spans="1:16" x14ac:dyDescent="0.3">
      <c r="A77" s="5" t="s">
        <v>232</v>
      </c>
      <c r="B77" s="5" t="s">
        <v>90</v>
      </c>
      <c r="C77" s="5" t="s">
        <v>28</v>
      </c>
      <c r="D77" s="5" t="s">
        <v>45</v>
      </c>
      <c r="E77" s="5" t="s">
        <v>20</v>
      </c>
      <c r="F77" s="5" t="s">
        <v>56</v>
      </c>
      <c r="G77" s="5" t="s">
        <v>186</v>
      </c>
      <c r="H77" s="12">
        <v>45427</v>
      </c>
      <c r="I77" s="12">
        <v>45484</v>
      </c>
      <c r="J77" s="5"/>
      <c r="K77" s="5" t="s">
        <v>118</v>
      </c>
      <c r="L77" s="5"/>
      <c r="M77" s="5">
        <v>60.7</v>
      </c>
      <c r="N77" s="5">
        <v>0</v>
      </c>
      <c r="O77" s="5"/>
      <c r="P77" s="5" t="s">
        <v>168</v>
      </c>
    </row>
    <row r="78" spans="1:16" x14ac:dyDescent="0.3">
      <c r="A78" s="2" t="s">
        <v>233</v>
      </c>
      <c r="B78" s="2" t="s">
        <v>17</v>
      </c>
      <c r="C78" s="2" t="s">
        <v>157</v>
      </c>
      <c r="D78" s="2" t="s">
        <v>86</v>
      </c>
      <c r="E78" s="2" t="s">
        <v>55</v>
      </c>
      <c r="F78" s="2" t="s">
        <v>56</v>
      </c>
      <c r="G78" s="2" t="s">
        <v>158</v>
      </c>
      <c r="H78" s="7">
        <v>45581</v>
      </c>
      <c r="I78" s="7">
        <v>45609</v>
      </c>
      <c r="J78" s="7">
        <v>45624</v>
      </c>
      <c r="K78" s="2" t="s">
        <v>132</v>
      </c>
      <c r="L78" s="2" t="s">
        <v>110</v>
      </c>
      <c r="M78" s="2">
        <v>5.0999999999999996</v>
      </c>
      <c r="N78" s="2">
        <v>11.6</v>
      </c>
      <c r="O78" s="2"/>
      <c r="P78" s="2"/>
    </row>
    <row r="79" spans="1:16" x14ac:dyDescent="0.3">
      <c r="A79" s="5" t="s">
        <v>234</v>
      </c>
      <c r="B79" s="5" t="s">
        <v>69</v>
      </c>
      <c r="C79" s="5" t="s">
        <v>114</v>
      </c>
      <c r="D79" s="5" t="s">
        <v>54</v>
      </c>
      <c r="E79" s="5" t="s">
        <v>101</v>
      </c>
      <c r="F79" s="5" t="s">
        <v>47</v>
      </c>
      <c r="G79" s="5" t="s">
        <v>22</v>
      </c>
      <c r="H79" s="12">
        <v>45537</v>
      </c>
      <c r="I79" s="12">
        <v>45543</v>
      </c>
      <c r="J79" s="5"/>
      <c r="K79" s="5" t="s">
        <v>197</v>
      </c>
      <c r="L79" s="5"/>
      <c r="M79" s="5">
        <v>20.8</v>
      </c>
      <c r="N79" s="5"/>
      <c r="O79" s="5"/>
      <c r="P79" s="5" t="s">
        <v>135</v>
      </c>
    </row>
    <row r="80" spans="1:16" x14ac:dyDescent="0.3">
      <c r="A80" s="2" t="s">
        <v>235</v>
      </c>
      <c r="B80" s="2" t="s">
        <v>52</v>
      </c>
      <c r="C80" s="2" t="s">
        <v>177</v>
      </c>
      <c r="D80" s="2" t="s">
        <v>129</v>
      </c>
      <c r="E80" s="2" t="s">
        <v>38</v>
      </c>
      <c r="F80" s="2" t="s">
        <v>121</v>
      </c>
      <c r="G80" s="2" t="s">
        <v>81</v>
      </c>
      <c r="H80" s="7">
        <v>45451</v>
      </c>
      <c r="I80" s="7">
        <v>45487</v>
      </c>
      <c r="J80" s="10">
        <v>45480</v>
      </c>
      <c r="K80" s="2" t="s">
        <v>23</v>
      </c>
      <c r="L80" s="2">
        <v>100</v>
      </c>
      <c r="M80" s="2">
        <v>71.400000000000006</v>
      </c>
      <c r="N80" s="2">
        <v>61.8</v>
      </c>
      <c r="O80" s="2"/>
      <c r="P80" s="2"/>
    </row>
    <row r="81" spans="1:16" x14ac:dyDescent="0.3">
      <c r="A81" s="5" t="s">
        <v>236</v>
      </c>
      <c r="B81" s="5" t="s">
        <v>35</v>
      </c>
      <c r="C81" s="5" t="s">
        <v>157</v>
      </c>
      <c r="D81" s="5" t="s">
        <v>45</v>
      </c>
      <c r="E81" s="5" t="s">
        <v>138</v>
      </c>
      <c r="F81" s="5" t="s">
        <v>144</v>
      </c>
      <c r="G81" s="5" t="s">
        <v>57</v>
      </c>
      <c r="H81" s="12">
        <v>45546</v>
      </c>
      <c r="I81" s="12">
        <v>45590</v>
      </c>
      <c r="J81" s="5"/>
      <c r="K81" s="5" t="s">
        <v>33</v>
      </c>
      <c r="L81" s="5">
        <v>22</v>
      </c>
      <c r="M81" s="5">
        <v>56.5</v>
      </c>
      <c r="N81" s="5"/>
      <c r="O81" s="5"/>
      <c r="P81" s="5"/>
    </row>
    <row r="82" spans="1:16" x14ac:dyDescent="0.3">
      <c r="A82" s="2" t="s">
        <v>237</v>
      </c>
      <c r="B82" s="2" t="s">
        <v>27</v>
      </c>
      <c r="C82" s="2" t="s">
        <v>184</v>
      </c>
      <c r="D82" s="2" t="s">
        <v>129</v>
      </c>
      <c r="E82" s="2" t="s">
        <v>101</v>
      </c>
      <c r="F82" s="2" t="s">
        <v>31</v>
      </c>
      <c r="G82" s="2" t="s">
        <v>192</v>
      </c>
      <c r="H82" s="4">
        <v>45327</v>
      </c>
      <c r="I82" s="4">
        <v>45357</v>
      </c>
      <c r="J82" s="2"/>
      <c r="K82" s="2" t="s">
        <v>193</v>
      </c>
      <c r="L82" s="2" t="s">
        <v>238</v>
      </c>
      <c r="M82" s="2">
        <v>77.599999999999994</v>
      </c>
      <c r="N82" s="2">
        <v>0</v>
      </c>
      <c r="O82" s="2"/>
      <c r="P82" s="2" t="s">
        <v>67</v>
      </c>
    </row>
    <row r="83" spans="1:16" x14ac:dyDescent="0.3">
      <c r="A83" s="5" t="s">
        <v>239</v>
      </c>
      <c r="B83" s="5" t="s">
        <v>69</v>
      </c>
      <c r="C83" s="5" t="s">
        <v>18</v>
      </c>
      <c r="D83" s="5" t="s">
        <v>117</v>
      </c>
      <c r="E83" s="5" t="s">
        <v>87</v>
      </c>
      <c r="F83" s="5" t="s">
        <v>21</v>
      </c>
      <c r="G83" s="5" t="s">
        <v>126</v>
      </c>
      <c r="H83" s="9">
        <v>45585</v>
      </c>
      <c r="I83" s="9">
        <v>45603</v>
      </c>
      <c r="J83" s="6">
        <v>45617</v>
      </c>
      <c r="K83" s="5" t="s">
        <v>132</v>
      </c>
      <c r="L83" s="5" t="s">
        <v>24</v>
      </c>
      <c r="M83" s="5">
        <v>19.7</v>
      </c>
      <c r="N83" s="5">
        <v>13.3</v>
      </c>
      <c r="O83" s="5"/>
      <c r="P83" s="5" t="s">
        <v>103</v>
      </c>
    </row>
    <row r="84" spans="1:16" x14ac:dyDescent="0.3">
      <c r="A84" s="2" t="s">
        <v>240</v>
      </c>
      <c r="B84" s="2" t="s">
        <v>69</v>
      </c>
      <c r="C84" s="2" t="s">
        <v>18</v>
      </c>
      <c r="D84" s="2" t="s">
        <v>37</v>
      </c>
      <c r="E84" s="2" t="s">
        <v>38</v>
      </c>
      <c r="F84" s="2" t="s">
        <v>63</v>
      </c>
      <c r="G84" s="2" t="s">
        <v>131</v>
      </c>
      <c r="H84" s="7">
        <v>45385</v>
      </c>
      <c r="I84" s="7">
        <v>45397</v>
      </c>
      <c r="J84" s="3">
        <v>45391</v>
      </c>
      <c r="K84" s="2" t="s">
        <v>152</v>
      </c>
      <c r="L84" s="2">
        <v>100</v>
      </c>
      <c r="M84" s="2">
        <v>31.2</v>
      </c>
      <c r="N84" s="2">
        <v>47.7</v>
      </c>
      <c r="O84" s="2"/>
      <c r="P84" s="2" t="s">
        <v>241</v>
      </c>
    </row>
    <row r="85" spans="1:16" x14ac:dyDescent="0.3">
      <c r="A85" s="5" t="s">
        <v>242</v>
      </c>
      <c r="B85" s="5" t="s">
        <v>77</v>
      </c>
      <c r="C85" s="5" t="s">
        <v>85</v>
      </c>
      <c r="D85" s="5" t="s">
        <v>117</v>
      </c>
      <c r="E85" s="5" t="s">
        <v>38</v>
      </c>
      <c r="F85" s="5" t="s">
        <v>195</v>
      </c>
      <c r="G85" s="5" t="s">
        <v>109</v>
      </c>
      <c r="H85" s="12">
        <v>45565</v>
      </c>
      <c r="I85" s="12">
        <v>45577</v>
      </c>
      <c r="J85" s="13">
        <v>45582</v>
      </c>
      <c r="K85" s="5" t="s">
        <v>132</v>
      </c>
      <c r="L85" s="5" t="s">
        <v>110</v>
      </c>
      <c r="M85" s="5">
        <v>63.1</v>
      </c>
      <c r="N85" s="5">
        <v>68.599999999999994</v>
      </c>
      <c r="O85" s="5"/>
      <c r="P85" s="5" t="s">
        <v>168</v>
      </c>
    </row>
    <row r="86" spans="1:16" x14ac:dyDescent="0.3">
      <c r="A86" s="2" t="s">
        <v>243</v>
      </c>
      <c r="B86" s="2" t="s">
        <v>27</v>
      </c>
      <c r="C86" s="2" t="s">
        <v>94</v>
      </c>
      <c r="D86" s="2" t="s">
        <v>19</v>
      </c>
      <c r="E86" s="2" t="s">
        <v>170</v>
      </c>
      <c r="F86" s="2" t="s">
        <v>151</v>
      </c>
      <c r="G86" s="2" t="s">
        <v>64</v>
      </c>
      <c r="H86" s="11">
        <v>45625</v>
      </c>
      <c r="I86" s="11">
        <v>45631</v>
      </c>
      <c r="J86" s="3">
        <v>45636</v>
      </c>
      <c r="K86" s="2" t="s">
        <v>124</v>
      </c>
      <c r="L86" s="2" t="s">
        <v>110</v>
      </c>
      <c r="M86" s="2">
        <v>36.4</v>
      </c>
      <c r="N86" s="2">
        <v>25.7</v>
      </c>
      <c r="O86" s="2"/>
      <c r="P86" s="2" t="s">
        <v>165</v>
      </c>
    </row>
    <row r="87" spans="1:16" x14ac:dyDescent="0.3">
      <c r="A87" s="5" t="s">
        <v>244</v>
      </c>
      <c r="B87" s="5" t="s">
        <v>17</v>
      </c>
      <c r="C87" s="5" t="s">
        <v>36</v>
      </c>
      <c r="D87" s="5" t="s">
        <v>29</v>
      </c>
      <c r="E87" s="5" t="s">
        <v>38</v>
      </c>
      <c r="F87" s="5" t="s">
        <v>47</v>
      </c>
      <c r="G87" s="5" t="s">
        <v>126</v>
      </c>
      <c r="H87" s="12">
        <v>45436</v>
      </c>
      <c r="I87" s="12">
        <v>45480</v>
      </c>
      <c r="J87" s="5"/>
      <c r="K87" s="5" t="s">
        <v>197</v>
      </c>
      <c r="L87" s="5"/>
      <c r="M87" s="5">
        <v>79.599999999999994</v>
      </c>
      <c r="N87" s="5"/>
      <c r="O87" s="5"/>
      <c r="P87" s="5" t="s">
        <v>159</v>
      </c>
    </row>
    <row r="88" spans="1:16" x14ac:dyDescent="0.3">
      <c r="A88" s="2" t="s">
        <v>245</v>
      </c>
      <c r="B88" s="2" t="s">
        <v>90</v>
      </c>
      <c r="C88" s="2" t="s">
        <v>177</v>
      </c>
      <c r="D88" s="2" t="s">
        <v>129</v>
      </c>
      <c r="E88" s="2" t="s">
        <v>185</v>
      </c>
      <c r="F88" s="2" t="s">
        <v>56</v>
      </c>
      <c r="G88" s="2" t="s">
        <v>32</v>
      </c>
      <c r="H88" s="7">
        <v>45516</v>
      </c>
      <c r="I88" s="7">
        <v>45549</v>
      </c>
      <c r="J88" s="2"/>
      <c r="K88" s="2" t="s">
        <v>65</v>
      </c>
      <c r="L88" s="2"/>
      <c r="M88" s="2">
        <v>35.6</v>
      </c>
      <c r="N88" s="2"/>
      <c r="O88" s="2"/>
      <c r="P88" s="2"/>
    </row>
    <row r="89" spans="1:16" x14ac:dyDescent="0.3">
      <c r="A89" s="5" t="s">
        <v>246</v>
      </c>
      <c r="B89" s="5" t="s">
        <v>52</v>
      </c>
      <c r="C89" s="5" t="s">
        <v>184</v>
      </c>
      <c r="D89" s="5" t="s">
        <v>167</v>
      </c>
      <c r="E89" s="5" t="s">
        <v>71</v>
      </c>
      <c r="F89" s="5" t="s">
        <v>47</v>
      </c>
      <c r="G89" s="5" t="s">
        <v>174</v>
      </c>
      <c r="H89" s="8">
        <v>45339</v>
      </c>
      <c r="I89" s="8">
        <v>45349</v>
      </c>
      <c r="J89" s="5"/>
      <c r="K89" s="5" t="s">
        <v>33</v>
      </c>
      <c r="L89" s="5"/>
      <c r="M89" s="5">
        <v>60.1</v>
      </c>
      <c r="N89" s="5"/>
      <c r="O89" s="5"/>
      <c r="P89" s="5" t="s">
        <v>83</v>
      </c>
    </row>
    <row r="90" spans="1:16" x14ac:dyDescent="0.3">
      <c r="A90" s="2" t="s">
        <v>247</v>
      </c>
      <c r="B90" s="2" t="s">
        <v>69</v>
      </c>
      <c r="C90" s="2" t="s">
        <v>36</v>
      </c>
      <c r="D90" s="2" t="s">
        <v>123</v>
      </c>
      <c r="E90" s="2" t="s">
        <v>185</v>
      </c>
      <c r="F90" s="2" t="s">
        <v>72</v>
      </c>
      <c r="G90" s="2" t="s">
        <v>192</v>
      </c>
      <c r="H90" s="10">
        <v>45636</v>
      </c>
      <c r="I90" s="10">
        <v>45689</v>
      </c>
      <c r="J90" s="2"/>
      <c r="K90" s="2" t="s">
        <v>33</v>
      </c>
      <c r="L90" s="2"/>
      <c r="M90" s="2">
        <v>49.6</v>
      </c>
      <c r="N90" s="2">
        <v>0</v>
      </c>
      <c r="O90" s="2"/>
      <c r="P90" s="2" t="s">
        <v>168</v>
      </c>
    </row>
    <row r="91" spans="1:16" x14ac:dyDescent="0.3">
      <c r="A91" s="5" t="s">
        <v>248</v>
      </c>
      <c r="B91" s="5" t="s">
        <v>90</v>
      </c>
      <c r="C91" s="5" t="s">
        <v>143</v>
      </c>
      <c r="D91" s="5" t="s">
        <v>167</v>
      </c>
      <c r="E91" s="5" t="s">
        <v>71</v>
      </c>
      <c r="F91" s="5" t="s">
        <v>21</v>
      </c>
      <c r="G91" s="5" t="s">
        <v>57</v>
      </c>
      <c r="H91" s="12">
        <v>45475</v>
      </c>
      <c r="I91" s="12">
        <v>45534</v>
      </c>
      <c r="J91" s="5"/>
      <c r="K91" s="5" t="s">
        <v>49</v>
      </c>
      <c r="L91" s="5">
        <v>0</v>
      </c>
      <c r="M91" s="5">
        <v>62</v>
      </c>
      <c r="N91" s="5"/>
      <c r="O91" s="5"/>
      <c r="P91" s="5" t="s">
        <v>103</v>
      </c>
    </row>
    <row r="92" spans="1:16" x14ac:dyDescent="0.3">
      <c r="A92" s="2" t="s">
        <v>249</v>
      </c>
      <c r="B92" s="2" t="s">
        <v>90</v>
      </c>
      <c r="C92" s="2" t="s">
        <v>18</v>
      </c>
      <c r="D92" s="2" t="s">
        <v>29</v>
      </c>
      <c r="E92" s="2" t="s">
        <v>20</v>
      </c>
      <c r="F92" s="2" t="s">
        <v>121</v>
      </c>
      <c r="G92" s="2" t="s">
        <v>186</v>
      </c>
      <c r="H92" s="10">
        <v>45435</v>
      </c>
      <c r="I92" s="10">
        <v>45484</v>
      </c>
      <c r="J92" s="2"/>
      <c r="K92" s="2" t="s">
        <v>127</v>
      </c>
      <c r="L92" s="2" t="s">
        <v>178</v>
      </c>
      <c r="M92" s="2">
        <v>30.7</v>
      </c>
      <c r="N92" s="2"/>
      <c r="O92" s="2"/>
      <c r="P92" s="2" t="s">
        <v>216</v>
      </c>
    </row>
    <row r="93" spans="1:16" x14ac:dyDescent="0.3">
      <c r="A93" s="5" t="s">
        <v>250</v>
      </c>
      <c r="B93" s="5" t="s">
        <v>35</v>
      </c>
      <c r="C93" s="5" t="s">
        <v>53</v>
      </c>
      <c r="D93" s="5" t="s">
        <v>167</v>
      </c>
      <c r="E93" s="5" t="s">
        <v>30</v>
      </c>
      <c r="F93" s="5" t="s">
        <v>47</v>
      </c>
      <c r="G93" s="5" t="s">
        <v>92</v>
      </c>
      <c r="H93" s="9">
        <v>45406</v>
      </c>
      <c r="I93" s="9">
        <v>45435</v>
      </c>
      <c r="J93" s="5"/>
      <c r="K93" s="5" t="s">
        <v>33</v>
      </c>
      <c r="L93" s="5"/>
      <c r="M93" s="5">
        <v>16</v>
      </c>
      <c r="N93" s="5">
        <v>0</v>
      </c>
      <c r="O93" s="5"/>
      <c r="P93" s="5" t="s">
        <v>111</v>
      </c>
    </row>
    <row r="94" spans="1:16" x14ac:dyDescent="0.3">
      <c r="A94" s="2" t="s">
        <v>251</v>
      </c>
      <c r="B94" s="2" t="s">
        <v>69</v>
      </c>
      <c r="C94" s="2" t="s">
        <v>53</v>
      </c>
      <c r="D94" s="2" t="s">
        <v>45</v>
      </c>
      <c r="E94" s="2" t="s">
        <v>164</v>
      </c>
      <c r="F94" s="2" t="s">
        <v>63</v>
      </c>
      <c r="G94" s="2" t="s">
        <v>186</v>
      </c>
      <c r="H94" s="10">
        <v>45682</v>
      </c>
      <c r="I94" s="10">
        <v>45726</v>
      </c>
      <c r="J94" s="11">
        <v>45737</v>
      </c>
      <c r="K94" s="2" t="s">
        <v>124</v>
      </c>
      <c r="L94" s="2">
        <v>100</v>
      </c>
      <c r="M94" s="2">
        <v>24.7</v>
      </c>
      <c r="N94" s="2">
        <v>36.200000000000003</v>
      </c>
      <c r="O94" s="2"/>
      <c r="P94" s="2" t="s">
        <v>210</v>
      </c>
    </row>
    <row r="95" spans="1:16" x14ac:dyDescent="0.3">
      <c r="A95" s="5" t="s">
        <v>252</v>
      </c>
      <c r="B95" s="5" t="s">
        <v>35</v>
      </c>
      <c r="C95" s="5" t="s">
        <v>85</v>
      </c>
      <c r="D95" s="5" t="s">
        <v>70</v>
      </c>
      <c r="E95" s="5" t="s">
        <v>170</v>
      </c>
      <c r="F95" s="5" t="s">
        <v>47</v>
      </c>
      <c r="G95" s="5" t="s">
        <v>192</v>
      </c>
      <c r="H95" s="8">
        <v>45516</v>
      </c>
      <c r="I95" s="8">
        <v>45528</v>
      </c>
      <c r="J95" s="5"/>
      <c r="K95" s="5" t="s">
        <v>127</v>
      </c>
      <c r="L95" s="5"/>
      <c r="M95" s="5">
        <v>41</v>
      </c>
      <c r="N95" s="5"/>
      <c r="O95" s="5"/>
      <c r="P95" s="5" t="s">
        <v>159</v>
      </c>
    </row>
    <row r="96" spans="1:16" x14ac:dyDescent="0.3">
      <c r="A96" s="2" t="s">
        <v>253</v>
      </c>
      <c r="B96" s="2" t="s">
        <v>27</v>
      </c>
      <c r="C96" s="2" t="s">
        <v>114</v>
      </c>
      <c r="D96" s="2" t="s">
        <v>29</v>
      </c>
      <c r="E96" s="2" t="s">
        <v>164</v>
      </c>
      <c r="F96" s="2" t="s">
        <v>121</v>
      </c>
      <c r="G96" s="2" t="s">
        <v>32</v>
      </c>
      <c r="H96" s="10">
        <v>45450</v>
      </c>
      <c r="I96" s="10">
        <v>45468</v>
      </c>
      <c r="J96" s="2"/>
      <c r="K96" s="2" t="s">
        <v>73</v>
      </c>
      <c r="L96" s="2">
        <v>42</v>
      </c>
      <c r="M96" s="2">
        <v>4.5999999999999996</v>
      </c>
      <c r="N96" s="2">
        <v>2.4</v>
      </c>
      <c r="O96" s="2"/>
      <c r="P96" s="2"/>
    </row>
    <row r="97" spans="1:16" x14ac:dyDescent="0.3">
      <c r="A97" s="5" t="s">
        <v>254</v>
      </c>
      <c r="B97" s="5" t="s">
        <v>27</v>
      </c>
      <c r="C97" s="5" t="s">
        <v>28</v>
      </c>
      <c r="D97" s="5" t="s">
        <v>62</v>
      </c>
      <c r="E97" s="5" t="s">
        <v>101</v>
      </c>
      <c r="F97" s="5" t="s">
        <v>47</v>
      </c>
      <c r="G97" s="5" t="s">
        <v>158</v>
      </c>
      <c r="H97" s="12">
        <v>45675</v>
      </c>
      <c r="I97" s="12">
        <v>45682</v>
      </c>
      <c r="J97" s="5"/>
      <c r="K97" s="5" t="s">
        <v>33</v>
      </c>
      <c r="L97" s="5"/>
      <c r="M97" s="5">
        <v>74</v>
      </c>
      <c r="N97" s="5">
        <v>0</v>
      </c>
      <c r="O97" s="5"/>
      <c r="P97" s="5" t="s">
        <v>241</v>
      </c>
    </row>
    <row r="98" spans="1:16" x14ac:dyDescent="0.3">
      <c r="A98" s="2" t="s">
        <v>255</v>
      </c>
      <c r="B98" s="2" t="s">
        <v>69</v>
      </c>
      <c r="C98" s="2" t="s">
        <v>114</v>
      </c>
      <c r="D98" s="2" t="s">
        <v>19</v>
      </c>
      <c r="E98" s="2" t="s">
        <v>138</v>
      </c>
      <c r="F98" s="2" t="s">
        <v>151</v>
      </c>
      <c r="G98" s="2" t="s">
        <v>57</v>
      </c>
      <c r="H98" s="7">
        <v>45503</v>
      </c>
      <c r="I98" s="7">
        <v>45509</v>
      </c>
      <c r="J98" s="2"/>
      <c r="K98" s="2" t="s">
        <v>197</v>
      </c>
      <c r="L98" s="2" t="s">
        <v>238</v>
      </c>
      <c r="M98" s="2">
        <v>64.900000000000006</v>
      </c>
      <c r="N98" s="2"/>
      <c r="O98" s="2"/>
      <c r="P98" s="2"/>
    </row>
    <row r="99" spans="1:16" x14ac:dyDescent="0.3">
      <c r="A99" s="5" t="s">
        <v>256</v>
      </c>
      <c r="B99" s="5" t="s">
        <v>17</v>
      </c>
      <c r="C99" s="5" t="s">
        <v>177</v>
      </c>
      <c r="D99" s="5" t="s">
        <v>54</v>
      </c>
      <c r="E99" s="5" t="s">
        <v>185</v>
      </c>
      <c r="F99" s="5" t="s">
        <v>21</v>
      </c>
      <c r="G99" s="5" t="s">
        <v>109</v>
      </c>
      <c r="H99" s="9">
        <v>45597</v>
      </c>
      <c r="I99" s="9">
        <v>45627</v>
      </c>
      <c r="J99" s="5"/>
      <c r="K99" s="5" t="s">
        <v>106</v>
      </c>
      <c r="L99" s="5">
        <v>0</v>
      </c>
      <c r="M99" s="5">
        <v>34.1</v>
      </c>
      <c r="N99" s="5">
        <v>0</v>
      </c>
      <c r="O99" s="5"/>
      <c r="P99" s="5" t="s">
        <v>111</v>
      </c>
    </row>
    <row r="100" spans="1:16" x14ac:dyDescent="0.3">
      <c r="A100" s="2" t="s">
        <v>257</v>
      </c>
      <c r="B100" s="2" t="s">
        <v>27</v>
      </c>
      <c r="C100" s="2" t="s">
        <v>36</v>
      </c>
      <c r="D100" s="2" t="s">
        <v>86</v>
      </c>
      <c r="E100" s="2" t="s">
        <v>227</v>
      </c>
      <c r="F100" s="2" t="s">
        <v>47</v>
      </c>
      <c r="G100" s="2" t="s">
        <v>92</v>
      </c>
      <c r="H100" s="4">
        <v>45620</v>
      </c>
      <c r="I100" s="4">
        <v>45632</v>
      </c>
      <c r="J100" s="2"/>
      <c r="K100" s="2" t="s">
        <v>106</v>
      </c>
      <c r="L100" s="2"/>
      <c r="M100" s="2">
        <v>18.7</v>
      </c>
      <c r="N100" s="2">
        <v>0</v>
      </c>
      <c r="O100" s="2"/>
      <c r="P100" s="2" t="s">
        <v>75</v>
      </c>
    </row>
    <row r="101" spans="1:16" x14ac:dyDescent="0.3">
      <c r="A101" s="5" t="s">
        <v>258</v>
      </c>
      <c r="B101" s="5" t="s">
        <v>27</v>
      </c>
      <c r="C101" s="5" t="s">
        <v>44</v>
      </c>
      <c r="D101" s="5" t="s">
        <v>167</v>
      </c>
      <c r="E101" s="5" t="s">
        <v>20</v>
      </c>
      <c r="F101" s="5" t="s">
        <v>21</v>
      </c>
      <c r="G101" s="5" t="s">
        <v>186</v>
      </c>
      <c r="H101" s="12">
        <v>45604</v>
      </c>
      <c r="I101" s="12">
        <v>45618</v>
      </c>
      <c r="J101" s="13">
        <v>45613</v>
      </c>
      <c r="K101" s="5" t="s">
        <v>132</v>
      </c>
      <c r="L101" s="5" t="s">
        <v>110</v>
      </c>
      <c r="M101" s="5">
        <v>39.299999999999997</v>
      </c>
      <c r="N101" s="5">
        <v>46.8</v>
      </c>
      <c r="O101" s="5"/>
      <c r="P101" s="5" t="s">
        <v>241</v>
      </c>
    </row>
    <row r="102" spans="1:16" x14ac:dyDescent="0.3">
      <c r="A102" s="2" t="s">
        <v>259</v>
      </c>
      <c r="B102" s="2" t="s">
        <v>69</v>
      </c>
      <c r="C102" s="2" t="s">
        <v>36</v>
      </c>
      <c r="D102" s="2" t="s">
        <v>54</v>
      </c>
      <c r="E102" s="2" t="s">
        <v>87</v>
      </c>
      <c r="F102" s="2" t="s">
        <v>63</v>
      </c>
      <c r="G102" s="2" t="s">
        <v>64</v>
      </c>
      <c r="H102" s="3">
        <v>45330</v>
      </c>
      <c r="I102" s="3">
        <v>45365</v>
      </c>
      <c r="J102" s="2"/>
      <c r="K102" s="2" t="s">
        <v>58</v>
      </c>
      <c r="L102" s="2"/>
      <c r="M102" s="2">
        <v>48.9</v>
      </c>
      <c r="N102" s="2">
        <v>0</v>
      </c>
      <c r="O102" s="2"/>
      <c r="P102" s="2" t="s">
        <v>88</v>
      </c>
    </row>
    <row r="103" spans="1:16" x14ac:dyDescent="0.3">
      <c r="A103" s="5" t="s">
        <v>260</v>
      </c>
      <c r="B103" s="5" t="s">
        <v>52</v>
      </c>
      <c r="C103" s="5" t="s">
        <v>137</v>
      </c>
      <c r="D103" s="5" t="s">
        <v>78</v>
      </c>
      <c r="E103" s="5" t="s">
        <v>164</v>
      </c>
      <c r="F103" s="5" t="s">
        <v>121</v>
      </c>
      <c r="G103" s="5" t="s">
        <v>192</v>
      </c>
      <c r="H103" s="8">
        <v>45442</v>
      </c>
      <c r="I103" s="8">
        <v>45451</v>
      </c>
      <c r="J103" s="12">
        <v>45460</v>
      </c>
      <c r="K103" s="5" t="s">
        <v>132</v>
      </c>
      <c r="L103" s="5" t="s">
        <v>24</v>
      </c>
      <c r="M103" s="5">
        <v>42.5</v>
      </c>
      <c r="N103" s="5">
        <v>46</v>
      </c>
      <c r="O103" s="5"/>
      <c r="P103" s="5" t="s">
        <v>83</v>
      </c>
    </row>
    <row r="104" spans="1:16" x14ac:dyDescent="0.3">
      <c r="A104" s="2" t="s">
        <v>261</v>
      </c>
      <c r="B104" s="2" t="s">
        <v>69</v>
      </c>
      <c r="C104" s="2" t="s">
        <v>143</v>
      </c>
      <c r="D104" s="2" t="s">
        <v>262</v>
      </c>
      <c r="E104" s="2" t="s">
        <v>71</v>
      </c>
      <c r="F104" s="2" t="s">
        <v>31</v>
      </c>
      <c r="G104" s="2" t="s">
        <v>126</v>
      </c>
      <c r="H104" s="4">
        <v>45327</v>
      </c>
      <c r="I104" s="4">
        <v>45360</v>
      </c>
      <c r="J104" s="3">
        <v>45375</v>
      </c>
      <c r="K104" s="2" t="s">
        <v>23</v>
      </c>
      <c r="L104" s="2">
        <v>100</v>
      </c>
      <c r="M104" s="2">
        <v>78.7</v>
      </c>
      <c r="N104" s="2">
        <v>67.099999999999994</v>
      </c>
      <c r="O104" s="2"/>
      <c r="P104" s="2" t="s">
        <v>135</v>
      </c>
    </row>
    <row r="105" spans="1:16" x14ac:dyDescent="0.3">
      <c r="A105" s="5" t="s">
        <v>263</v>
      </c>
      <c r="B105" s="5" t="s">
        <v>27</v>
      </c>
      <c r="C105" s="5" t="s">
        <v>137</v>
      </c>
      <c r="D105" s="5" t="s">
        <v>78</v>
      </c>
      <c r="E105" s="5" t="s">
        <v>170</v>
      </c>
      <c r="F105" s="5" t="s">
        <v>31</v>
      </c>
      <c r="G105" s="5" t="s">
        <v>186</v>
      </c>
      <c r="H105" s="13">
        <v>45482</v>
      </c>
      <c r="I105" s="13">
        <v>45510</v>
      </c>
      <c r="J105" s="5"/>
      <c r="K105" s="5" t="s">
        <v>127</v>
      </c>
      <c r="L105" s="5"/>
      <c r="M105" s="5">
        <v>35.1</v>
      </c>
      <c r="N105" s="5">
        <v>0</v>
      </c>
      <c r="O105" s="5"/>
      <c r="P105" s="5" t="s">
        <v>59</v>
      </c>
    </row>
    <row r="106" spans="1:16" x14ac:dyDescent="0.3">
      <c r="A106" s="2" t="s">
        <v>264</v>
      </c>
      <c r="B106" s="2" t="s">
        <v>113</v>
      </c>
      <c r="C106" s="2" t="s">
        <v>36</v>
      </c>
      <c r="D106" s="2" t="s">
        <v>129</v>
      </c>
      <c r="E106" s="2" t="s">
        <v>87</v>
      </c>
      <c r="F106" s="2" t="s">
        <v>47</v>
      </c>
      <c r="G106" s="2" t="s">
        <v>158</v>
      </c>
      <c r="H106" s="11">
        <v>45441</v>
      </c>
      <c r="I106" s="11">
        <v>45462</v>
      </c>
      <c r="J106" s="2"/>
      <c r="K106" s="2" t="s">
        <v>73</v>
      </c>
      <c r="L106" s="2" t="s">
        <v>265</v>
      </c>
      <c r="M106" s="2">
        <v>73.7</v>
      </c>
      <c r="N106" s="2">
        <v>44.2</v>
      </c>
      <c r="O106" s="2"/>
      <c r="P106" s="2" t="s">
        <v>59</v>
      </c>
    </row>
    <row r="107" spans="1:16" x14ac:dyDescent="0.3">
      <c r="A107" s="5" t="s">
        <v>266</v>
      </c>
      <c r="B107" s="5" t="s">
        <v>77</v>
      </c>
      <c r="C107" s="5" t="s">
        <v>53</v>
      </c>
      <c r="D107" s="5" t="s">
        <v>37</v>
      </c>
      <c r="E107" s="5" t="s">
        <v>46</v>
      </c>
      <c r="F107" s="5" t="s">
        <v>144</v>
      </c>
      <c r="G107" s="5" t="s">
        <v>39</v>
      </c>
      <c r="H107" s="9">
        <v>45361</v>
      </c>
      <c r="I107" s="9">
        <v>45408</v>
      </c>
      <c r="J107" s="5"/>
      <c r="K107" s="5" t="s">
        <v>106</v>
      </c>
      <c r="L107" s="5">
        <v>0</v>
      </c>
      <c r="M107" s="5">
        <v>53.1</v>
      </c>
      <c r="N107" s="5">
        <v>0</v>
      </c>
      <c r="O107" s="5"/>
      <c r="P107" s="5" t="s">
        <v>88</v>
      </c>
    </row>
    <row r="108" spans="1:16" x14ac:dyDescent="0.3">
      <c r="A108" s="2" t="s">
        <v>267</v>
      </c>
      <c r="B108" s="2" t="s">
        <v>113</v>
      </c>
      <c r="C108" s="2" t="s">
        <v>184</v>
      </c>
      <c r="D108" s="2" t="s">
        <v>37</v>
      </c>
      <c r="E108" s="2" t="s">
        <v>227</v>
      </c>
      <c r="F108" s="2" t="s">
        <v>21</v>
      </c>
      <c r="G108" s="2" t="s">
        <v>39</v>
      </c>
      <c r="H108" s="10">
        <v>45688</v>
      </c>
      <c r="I108" s="10">
        <v>45724</v>
      </c>
      <c r="J108" s="2"/>
      <c r="K108" s="2" t="s">
        <v>115</v>
      </c>
      <c r="L108" s="2">
        <v>38</v>
      </c>
      <c r="M108" s="2">
        <v>26.5</v>
      </c>
      <c r="N108" s="2">
        <v>13.1</v>
      </c>
      <c r="O108" s="2"/>
      <c r="P108" s="2" t="s">
        <v>83</v>
      </c>
    </row>
    <row r="109" spans="1:16" x14ac:dyDescent="0.3">
      <c r="A109" s="5" t="s">
        <v>268</v>
      </c>
      <c r="B109" s="5" t="s">
        <v>113</v>
      </c>
      <c r="C109" s="5" t="s">
        <v>36</v>
      </c>
      <c r="D109" s="5" t="s">
        <v>45</v>
      </c>
      <c r="E109" s="5" t="s">
        <v>38</v>
      </c>
      <c r="F109" s="5" t="s">
        <v>154</v>
      </c>
      <c r="G109" s="5" t="s">
        <v>158</v>
      </c>
      <c r="H109" s="13">
        <v>45374</v>
      </c>
      <c r="I109" s="13">
        <v>45389</v>
      </c>
      <c r="J109" s="5"/>
      <c r="K109" s="5" t="s">
        <v>82</v>
      </c>
      <c r="L109" s="5"/>
      <c r="M109" s="5">
        <v>7.3</v>
      </c>
      <c r="N109" s="5">
        <v>5.3</v>
      </c>
      <c r="O109" s="5"/>
      <c r="P109" s="5"/>
    </row>
    <row r="110" spans="1:16" x14ac:dyDescent="0.3">
      <c r="A110" s="2" t="s">
        <v>269</v>
      </c>
      <c r="B110" s="2" t="s">
        <v>52</v>
      </c>
      <c r="C110" s="2" t="s">
        <v>137</v>
      </c>
      <c r="D110" s="2" t="s">
        <v>70</v>
      </c>
      <c r="E110" s="2" t="s">
        <v>55</v>
      </c>
      <c r="F110" s="2" t="s">
        <v>151</v>
      </c>
      <c r="G110" s="2" t="s">
        <v>95</v>
      </c>
      <c r="H110" s="11">
        <v>45395</v>
      </c>
      <c r="I110" s="11">
        <v>45423</v>
      </c>
      <c r="J110" s="2"/>
      <c r="K110" s="2" t="s">
        <v>58</v>
      </c>
      <c r="L110" s="2"/>
      <c r="M110" s="2">
        <v>63.1</v>
      </c>
      <c r="N110" s="2"/>
      <c r="O110" s="2"/>
      <c r="P110" s="2" t="s">
        <v>88</v>
      </c>
    </row>
    <row r="111" spans="1:16" x14ac:dyDescent="0.3">
      <c r="A111" s="5" t="s">
        <v>270</v>
      </c>
      <c r="B111" s="5" t="s">
        <v>77</v>
      </c>
      <c r="C111" s="5" t="s">
        <v>143</v>
      </c>
      <c r="D111" s="5" t="s">
        <v>86</v>
      </c>
      <c r="E111" s="5" t="s">
        <v>38</v>
      </c>
      <c r="F111" s="5" t="s">
        <v>56</v>
      </c>
      <c r="G111" s="5" t="s">
        <v>131</v>
      </c>
      <c r="H111" s="13">
        <v>45322</v>
      </c>
      <c r="I111" s="13">
        <v>45368</v>
      </c>
      <c r="J111" s="5"/>
      <c r="K111" s="5" t="s">
        <v>118</v>
      </c>
      <c r="L111" s="5"/>
      <c r="M111" s="5">
        <v>46.1</v>
      </c>
      <c r="N111" s="5"/>
      <c r="O111" s="5"/>
      <c r="P111" s="5" t="s">
        <v>165</v>
      </c>
    </row>
    <row r="112" spans="1:16" x14ac:dyDescent="0.3">
      <c r="A112" s="2" t="s">
        <v>271</v>
      </c>
      <c r="B112" s="2" t="s">
        <v>17</v>
      </c>
      <c r="C112" s="2" t="s">
        <v>99</v>
      </c>
      <c r="D112" s="2" t="s">
        <v>129</v>
      </c>
      <c r="E112" s="2" t="s">
        <v>227</v>
      </c>
      <c r="F112" s="2" t="s">
        <v>151</v>
      </c>
      <c r="G112" s="2" t="s">
        <v>64</v>
      </c>
      <c r="H112" s="11">
        <v>45558</v>
      </c>
      <c r="I112" s="11">
        <v>45572</v>
      </c>
      <c r="J112" s="2"/>
      <c r="K112" s="2" t="s">
        <v>33</v>
      </c>
      <c r="L112" s="2">
        <v>10</v>
      </c>
      <c r="M112" s="2">
        <v>66.099999999999994</v>
      </c>
      <c r="N112" s="2">
        <v>0</v>
      </c>
      <c r="O112" s="2"/>
      <c r="P112" s="2" t="s">
        <v>25</v>
      </c>
    </row>
    <row r="113" spans="1:16" x14ac:dyDescent="0.3">
      <c r="A113" s="5" t="s">
        <v>272</v>
      </c>
      <c r="B113" s="5" t="s">
        <v>113</v>
      </c>
      <c r="C113" s="5" t="s">
        <v>114</v>
      </c>
      <c r="D113" s="5" t="s">
        <v>62</v>
      </c>
      <c r="E113" s="5" t="s">
        <v>101</v>
      </c>
      <c r="F113" s="5" t="s">
        <v>21</v>
      </c>
      <c r="G113" s="5" t="s">
        <v>158</v>
      </c>
      <c r="H113" s="12">
        <v>45337</v>
      </c>
      <c r="I113" s="12">
        <v>45365</v>
      </c>
      <c r="J113" s="5"/>
      <c r="K113" s="5" t="s">
        <v>65</v>
      </c>
      <c r="L113" s="5" t="s">
        <v>273</v>
      </c>
      <c r="M113" s="5">
        <v>64.099999999999994</v>
      </c>
      <c r="N113" s="5"/>
      <c r="O113" s="5"/>
      <c r="P113" s="5" t="s">
        <v>159</v>
      </c>
    </row>
    <row r="114" spans="1:16" x14ac:dyDescent="0.3">
      <c r="A114" s="2" t="s">
        <v>274</v>
      </c>
      <c r="B114" s="2" t="s">
        <v>77</v>
      </c>
      <c r="C114" s="2" t="s">
        <v>108</v>
      </c>
      <c r="D114" s="2" t="s">
        <v>78</v>
      </c>
      <c r="E114" s="2" t="s">
        <v>30</v>
      </c>
      <c r="F114" s="2" t="s">
        <v>105</v>
      </c>
      <c r="G114" s="2" t="s">
        <v>174</v>
      </c>
      <c r="H114" s="3">
        <v>45305</v>
      </c>
      <c r="I114" s="3">
        <v>45326</v>
      </c>
      <c r="J114" s="2"/>
      <c r="K114" s="2" t="s">
        <v>115</v>
      </c>
      <c r="L114" s="2"/>
      <c r="M114" s="2">
        <v>12.5</v>
      </c>
      <c r="N114" s="2"/>
      <c r="O114" s="2"/>
      <c r="P114" s="2" t="s">
        <v>159</v>
      </c>
    </row>
    <row r="115" spans="1:16" x14ac:dyDescent="0.3">
      <c r="A115" s="5" t="s">
        <v>275</v>
      </c>
      <c r="B115" s="5" t="s">
        <v>113</v>
      </c>
      <c r="C115" s="5" t="s">
        <v>147</v>
      </c>
      <c r="D115" s="5" t="s">
        <v>100</v>
      </c>
      <c r="E115" s="5" t="s">
        <v>161</v>
      </c>
      <c r="F115" s="5" t="s">
        <v>47</v>
      </c>
      <c r="G115" s="5" t="s">
        <v>57</v>
      </c>
      <c r="H115" s="12">
        <v>45551</v>
      </c>
      <c r="I115" s="12">
        <v>45594</v>
      </c>
      <c r="J115" s="8">
        <v>45604</v>
      </c>
      <c r="K115" s="5" t="s">
        <v>152</v>
      </c>
      <c r="L115" s="5" t="s">
        <v>24</v>
      </c>
      <c r="M115" s="5">
        <v>47.7</v>
      </c>
      <c r="N115" s="5">
        <v>61.4</v>
      </c>
      <c r="O115" s="5"/>
      <c r="P115" s="5" t="s">
        <v>159</v>
      </c>
    </row>
    <row r="116" spans="1:16" x14ac:dyDescent="0.3">
      <c r="A116" s="2" t="s">
        <v>276</v>
      </c>
      <c r="B116" s="2" t="s">
        <v>69</v>
      </c>
      <c r="C116" s="2" t="s">
        <v>184</v>
      </c>
      <c r="D116" s="2" t="s">
        <v>70</v>
      </c>
      <c r="E116" s="2" t="s">
        <v>138</v>
      </c>
      <c r="F116" s="2" t="s">
        <v>63</v>
      </c>
      <c r="G116" s="2" t="s">
        <v>174</v>
      </c>
      <c r="H116" s="3">
        <v>45564</v>
      </c>
      <c r="I116" s="3">
        <v>45592</v>
      </c>
      <c r="J116" s="11">
        <v>45598</v>
      </c>
      <c r="K116" s="2" t="s">
        <v>132</v>
      </c>
      <c r="L116" s="2" t="s">
        <v>24</v>
      </c>
      <c r="M116" s="2">
        <v>42.6</v>
      </c>
      <c r="N116" s="2">
        <v>67.099999999999994</v>
      </c>
      <c r="O116" s="2"/>
      <c r="P116" s="2" t="s">
        <v>83</v>
      </c>
    </row>
    <row r="117" spans="1:16" x14ac:dyDescent="0.3">
      <c r="A117" s="5" t="s">
        <v>277</v>
      </c>
      <c r="B117" s="5" t="s">
        <v>43</v>
      </c>
      <c r="C117" s="5" t="s">
        <v>94</v>
      </c>
      <c r="D117" s="5" t="s">
        <v>123</v>
      </c>
      <c r="E117" s="5" t="s">
        <v>46</v>
      </c>
      <c r="F117" s="5" t="s">
        <v>173</v>
      </c>
      <c r="G117" s="5" t="s">
        <v>131</v>
      </c>
      <c r="H117" s="8">
        <v>45678</v>
      </c>
      <c r="I117" s="8">
        <v>45684</v>
      </c>
      <c r="J117" s="5"/>
      <c r="K117" s="5" t="s">
        <v>49</v>
      </c>
      <c r="L117" s="5">
        <v>0</v>
      </c>
      <c r="M117" s="5">
        <v>30.2</v>
      </c>
      <c r="N117" s="5"/>
      <c r="O117" s="5"/>
      <c r="P117" s="5" t="s">
        <v>59</v>
      </c>
    </row>
    <row r="118" spans="1:16" x14ac:dyDescent="0.3">
      <c r="A118" s="2" t="s">
        <v>278</v>
      </c>
      <c r="B118" s="2" t="s">
        <v>69</v>
      </c>
      <c r="C118" s="2" t="s">
        <v>36</v>
      </c>
      <c r="D118" s="2" t="s">
        <v>167</v>
      </c>
      <c r="E118" s="2" t="s">
        <v>164</v>
      </c>
      <c r="F118" s="2" t="s">
        <v>173</v>
      </c>
      <c r="G118" s="2" t="s">
        <v>39</v>
      </c>
      <c r="H118" s="11">
        <v>45625</v>
      </c>
      <c r="I118" s="11">
        <v>45641</v>
      </c>
      <c r="J118" s="2"/>
      <c r="K118" s="2" t="s">
        <v>58</v>
      </c>
      <c r="L118" s="2"/>
      <c r="M118" s="2">
        <v>17.899999999999999</v>
      </c>
      <c r="N118" s="2"/>
      <c r="O118" s="2"/>
      <c r="P118" s="2" t="s">
        <v>67</v>
      </c>
    </row>
    <row r="119" spans="1:16" x14ac:dyDescent="0.3">
      <c r="A119" s="5" t="s">
        <v>279</v>
      </c>
      <c r="B119" s="5" t="s">
        <v>113</v>
      </c>
      <c r="C119" s="5" t="s">
        <v>99</v>
      </c>
      <c r="D119" s="5" t="s">
        <v>70</v>
      </c>
      <c r="E119" s="5" t="s">
        <v>164</v>
      </c>
      <c r="F119" s="5" t="s">
        <v>80</v>
      </c>
      <c r="G119" s="5" t="s">
        <v>32</v>
      </c>
      <c r="H119" s="9">
        <v>45317</v>
      </c>
      <c r="I119" s="9">
        <v>45342</v>
      </c>
      <c r="J119" s="5"/>
      <c r="K119" s="5" t="s">
        <v>127</v>
      </c>
      <c r="L119" s="5"/>
      <c r="M119" s="5">
        <v>34.299999999999997</v>
      </c>
      <c r="N119" s="5"/>
      <c r="O119" s="5"/>
      <c r="P119" s="5" t="s">
        <v>210</v>
      </c>
    </row>
    <row r="120" spans="1:16" x14ac:dyDescent="0.3">
      <c r="A120" s="2" t="s">
        <v>280</v>
      </c>
      <c r="B120" s="2" t="s">
        <v>113</v>
      </c>
      <c r="C120" s="2" t="s">
        <v>143</v>
      </c>
      <c r="D120" s="2" t="s">
        <v>37</v>
      </c>
      <c r="E120" s="2" t="s">
        <v>101</v>
      </c>
      <c r="F120" s="2" t="s">
        <v>56</v>
      </c>
      <c r="G120" s="2" t="s">
        <v>81</v>
      </c>
      <c r="H120" s="11">
        <v>45631</v>
      </c>
      <c r="I120" s="11">
        <v>45657</v>
      </c>
      <c r="J120" s="2"/>
      <c r="K120" s="2" t="s">
        <v>193</v>
      </c>
      <c r="L120" s="2">
        <v>0</v>
      </c>
      <c r="M120" s="2">
        <v>64.8</v>
      </c>
      <c r="N120" s="2">
        <v>0</v>
      </c>
      <c r="O120" s="2"/>
      <c r="P120" s="2"/>
    </row>
    <row r="121" spans="1:16" x14ac:dyDescent="0.3">
      <c r="A121" s="5" t="s">
        <v>281</v>
      </c>
      <c r="B121" s="5" t="s">
        <v>35</v>
      </c>
      <c r="C121" s="5" t="s">
        <v>36</v>
      </c>
      <c r="D121" s="5" t="s">
        <v>167</v>
      </c>
      <c r="E121" s="5" t="s">
        <v>71</v>
      </c>
      <c r="F121" s="5" t="s">
        <v>195</v>
      </c>
      <c r="G121" s="5" t="s">
        <v>95</v>
      </c>
      <c r="H121" s="8">
        <v>45484</v>
      </c>
      <c r="I121" s="8">
        <v>45540</v>
      </c>
      <c r="J121" s="5"/>
      <c r="K121" s="5" t="s">
        <v>106</v>
      </c>
      <c r="L121" s="5"/>
      <c r="M121" s="5">
        <v>64.900000000000006</v>
      </c>
      <c r="N121" s="5"/>
      <c r="O121" s="5"/>
      <c r="P121" s="5"/>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T26"/>
  <sheetViews>
    <sheetView zoomScaleNormal="100" workbookViewId="0">
      <pane ySplit="1" topLeftCell="A2" activePane="bottomLeft" state="frozen"/>
      <selection pane="bottomLeft"/>
    </sheetView>
  </sheetViews>
  <sheetFormatPr defaultColWidth="8.6640625" defaultRowHeight="14.4" x14ac:dyDescent="0.3"/>
  <cols>
    <col min="1" max="2" width="22" customWidth="1"/>
    <col min="4" max="5" width="22" customWidth="1"/>
    <col min="7" max="8" width="22" customWidth="1"/>
    <col min="10" max="11" width="22" customWidth="1"/>
    <col min="13" max="14" width="22" customWidth="1"/>
    <col min="16" max="20" width="22" customWidth="1"/>
  </cols>
  <sheetData>
    <row r="1" spans="1:20" x14ac:dyDescent="0.3">
      <c r="A1" s="14" t="s">
        <v>282</v>
      </c>
      <c r="B1" s="14" t="s">
        <v>283</v>
      </c>
      <c r="D1" s="14" t="s">
        <v>284</v>
      </c>
      <c r="E1" s="14" t="s">
        <v>285</v>
      </c>
      <c r="G1" s="14" t="s">
        <v>286</v>
      </c>
      <c r="H1" s="14" t="s">
        <v>287</v>
      </c>
      <c r="J1" s="14" t="s">
        <v>288</v>
      </c>
      <c r="K1" s="14" t="s">
        <v>289</v>
      </c>
      <c r="M1" s="14" t="s">
        <v>290</v>
      </c>
      <c r="N1" s="14" t="s">
        <v>291</v>
      </c>
      <c r="P1" s="14" t="s">
        <v>292</v>
      </c>
      <c r="Q1" s="14" t="s">
        <v>293</v>
      </c>
      <c r="R1" s="14" t="s">
        <v>294</v>
      </c>
      <c r="S1" s="14" t="s">
        <v>295</v>
      </c>
      <c r="T1" s="14" t="s">
        <v>296</v>
      </c>
    </row>
    <row r="2" spans="1:20" x14ac:dyDescent="0.3">
      <c r="A2" t="s">
        <v>47</v>
      </c>
      <c r="B2" t="s">
        <v>121</v>
      </c>
      <c r="D2" t="s">
        <v>124</v>
      </c>
      <c r="E2" t="s">
        <v>152</v>
      </c>
      <c r="G2" t="s">
        <v>18</v>
      </c>
      <c r="H2" t="s">
        <v>18</v>
      </c>
      <c r="J2" t="s">
        <v>139</v>
      </c>
      <c r="K2" t="s">
        <v>139</v>
      </c>
      <c r="M2" t="s">
        <v>30</v>
      </c>
      <c r="N2" t="s">
        <v>30</v>
      </c>
      <c r="P2" t="s">
        <v>80</v>
      </c>
      <c r="Q2" t="s">
        <v>152</v>
      </c>
      <c r="R2" t="s">
        <v>18</v>
      </c>
      <c r="S2" t="s">
        <v>139</v>
      </c>
      <c r="T2" t="s">
        <v>30</v>
      </c>
    </row>
    <row r="3" spans="1:20" x14ac:dyDescent="0.3">
      <c r="A3" t="s">
        <v>21</v>
      </c>
      <c r="B3" t="s">
        <v>121</v>
      </c>
      <c r="D3" t="s">
        <v>23</v>
      </c>
      <c r="E3" t="s">
        <v>152</v>
      </c>
      <c r="G3" t="s">
        <v>94</v>
      </c>
      <c r="H3" t="s">
        <v>18</v>
      </c>
      <c r="J3" t="s">
        <v>81</v>
      </c>
      <c r="K3" t="s">
        <v>139</v>
      </c>
      <c r="M3" t="s">
        <v>164</v>
      </c>
      <c r="N3" t="s">
        <v>30</v>
      </c>
      <c r="P3" t="s">
        <v>121</v>
      </c>
      <c r="Q3" t="s">
        <v>73</v>
      </c>
      <c r="R3" t="s">
        <v>44</v>
      </c>
      <c r="S3" t="s">
        <v>57</v>
      </c>
      <c r="T3" t="s">
        <v>185</v>
      </c>
    </row>
    <row r="4" spans="1:20" x14ac:dyDescent="0.3">
      <c r="A4" t="s">
        <v>63</v>
      </c>
      <c r="B4" t="s">
        <v>121</v>
      </c>
      <c r="D4" t="s">
        <v>132</v>
      </c>
      <c r="E4" t="s">
        <v>152</v>
      </c>
      <c r="G4" t="s">
        <v>53</v>
      </c>
      <c r="H4" t="s">
        <v>18</v>
      </c>
      <c r="J4" t="s">
        <v>174</v>
      </c>
      <c r="K4" t="s">
        <v>139</v>
      </c>
      <c r="M4" t="s">
        <v>79</v>
      </c>
      <c r="N4" t="s">
        <v>30</v>
      </c>
      <c r="P4" t="s">
        <v>151</v>
      </c>
      <c r="Q4" t="s">
        <v>193</v>
      </c>
      <c r="R4" t="s">
        <v>143</v>
      </c>
      <c r="S4" t="s">
        <v>186</v>
      </c>
      <c r="T4" t="s">
        <v>130</v>
      </c>
    </row>
    <row r="5" spans="1:20" x14ac:dyDescent="0.3">
      <c r="A5" t="s">
        <v>297</v>
      </c>
      <c r="B5" t="s">
        <v>121</v>
      </c>
      <c r="D5" t="s">
        <v>152</v>
      </c>
      <c r="E5" t="s">
        <v>152</v>
      </c>
      <c r="G5" t="s">
        <v>298</v>
      </c>
      <c r="H5" t="s">
        <v>18</v>
      </c>
      <c r="J5" t="s">
        <v>57</v>
      </c>
      <c r="K5" t="s">
        <v>57</v>
      </c>
      <c r="M5" t="s">
        <v>299</v>
      </c>
      <c r="N5" t="s">
        <v>30</v>
      </c>
      <c r="P5" t="s">
        <v>31</v>
      </c>
      <c r="Q5" t="s">
        <v>40</v>
      </c>
      <c r="R5" t="s">
        <v>85</v>
      </c>
      <c r="S5" t="s">
        <v>22</v>
      </c>
      <c r="T5" t="s">
        <v>91</v>
      </c>
    </row>
    <row r="6" spans="1:20" x14ac:dyDescent="0.3">
      <c r="A6" t="s">
        <v>173</v>
      </c>
      <c r="B6" t="s">
        <v>151</v>
      </c>
      <c r="D6" t="s">
        <v>300</v>
      </c>
      <c r="E6" t="s">
        <v>152</v>
      </c>
      <c r="G6" t="s">
        <v>44</v>
      </c>
      <c r="H6" t="s">
        <v>44</v>
      </c>
      <c r="J6" t="s">
        <v>126</v>
      </c>
      <c r="K6" t="s">
        <v>57</v>
      </c>
      <c r="M6" t="s">
        <v>185</v>
      </c>
      <c r="N6" t="s">
        <v>185</v>
      </c>
      <c r="Q6" t="s">
        <v>118</v>
      </c>
      <c r="R6" t="s">
        <v>184</v>
      </c>
      <c r="S6" t="s">
        <v>48</v>
      </c>
      <c r="T6" t="s">
        <v>101</v>
      </c>
    </row>
    <row r="7" spans="1:20" x14ac:dyDescent="0.3">
      <c r="A7" t="s">
        <v>102</v>
      </c>
      <c r="B7" t="s">
        <v>151</v>
      </c>
      <c r="D7" t="s">
        <v>82</v>
      </c>
      <c r="E7" t="s">
        <v>73</v>
      </c>
      <c r="G7" t="s">
        <v>301</v>
      </c>
      <c r="H7" t="s">
        <v>44</v>
      </c>
      <c r="J7" t="s">
        <v>302</v>
      </c>
      <c r="K7" t="s">
        <v>57</v>
      </c>
      <c r="M7" t="s">
        <v>38</v>
      </c>
      <c r="N7" t="s">
        <v>185</v>
      </c>
      <c r="R7" t="s">
        <v>137</v>
      </c>
      <c r="S7" t="s">
        <v>192</v>
      </c>
      <c r="T7" t="s">
        <v>138</v>
      </c>
    </row>
    <row r="8" spans="1:20" x14ac:dyDescent="0.3">
      <c r="A8" t="s">
        <v>72</v>
      </c>
      <c r="B8" t="s">
        <v>151</v>
      </c>
      <c r="D8" t="s">
        <v>65</v>
      </c>
      <c r="E8" t="s">
        <v>73</v>
      </c>
      <c r="G8" t="s">
        <v>61</v>
      </c>
      <c r="H8" t="s">
        <v>44</v>
      </c>
      <c r="J8" t="s">
        <v>186</v>
      </c>
      <c r="K8" t="s">
        <v>186</v>
      </c>
      <c r="M8" t="s">
        <v>227</v>
      </c>
      <c r="N8" t="s">
        <v>185</v>
      </c>
      <c r="S8" t="s">
        <v>109</v>
      </c>
      <c r="T8" t="s">
        <v>71</v>
      </c>
    </row>
    <row r="9" spans="1:20" x14ac:dyDescent="0.3">
      <c r="A9" t="s">
        <v>303</v>
      </c>
      <c r="B9" t="s">
        <v>151</v>
      </c>
      <c r="D9" t="s">
        <v>115</v>
      </c>
      <c r="E9" t="s">
        <v>73</v>
      </c>
      <c r="G9" t="s">
        <v>304</v>
      </c>
      <c r="H9" t="s">
        <v>44</v>
      </c>
      <c r="J9" t="s">
        <v>32</v>
      </c>
      <c r="K9" t="s">
        <v>186</v>
      </c>
      <c r="M9" t="s">
        <v>305</v>
      </c>
      <c r="N9" t="s">
        <v>185</v>
      </c>
      <c r="S9" t="s">
        <v>95</v>
      </c>
    </row>
    <row r="10" spans="1:20" x14ac:dyDescent="0.3">
      <c r="A10" t="s">
        <v>154</v>
      </c>
      <c r="B10" t="s">
        <v>31</v>
      </c>
      <c r="D10" t="s">
        <v>73</v>
      </c>
      <c r="E10" t="s">
        <v>73</v>
      </c>
      <c r="G10" t="s">
        <v>157</v>
      </c>
      <c r="H10" t="s">
        <v>44</v>
      </c>
      <c r="J10" t="s">
        <v>306</v>
      </c>
      <c r="K10" t="s">
        <v>186</v>
      </c>
      <c r="M10" t="s">
        <v>130</v>
      </c>
      <c r="N10" t="s">
        <v>130</v>
      </c>
    </row>
    <row r="11" spans="1:20" x14ac:dyDescent="0.3">
      <c r="A11" t="s">
        <v>195</v>
      </c>
      <c r="B11" t="s">
        <v>31</v>
      </c>
      <c r="D11" t="s">
        <v>307</v>
      </c>
      <c r="E11" t="s">
        <v>73</v>
      </c>
      <c r="G11" t="s">
        <v>143</v>
      </c>
      <c r="H11" t="s">
        <v>143</v>
      </c>
      <c r="J11" t="s">
        <v>22</v>
      </c>
      <c r="K11" t="s">
        <v>22</v>
      </c>
      <c r="M11" t="s">
        <v>55</v>
      </c>
      <c r="N11" t="s">
        <v>130</v>
      </c>
    </row>
    <row r="12" spans="1:20" x14ac:dyDescent="0.3">
      <c r="A12" t="s">
        <v>144</v>
      </c>
      <c r="B12" t="s">
        <v>31</v>
      </c>
      <c r="D12" t="s">
        <v>127</v>
      </c>
      <c r="E12" t="s">
        <v>193</v>
      </c>
      <c r="G12" t="s">
        <v>147</v>
      </c>
      <c r="H12" t="s">
        <v>143</v>
      </c>
      <c r="J12" t="s">
        <v>131</v>
      </c>
      <c r="K12" t="s">
        <v>22</v>
      </c>
      <c r="M12" t="s">
        <v>20</v>
      </c>
      <c r="N12" t="s">
        <v>130</v>
      </c>
    </row>
    <row r="13" spans="1:20" x14ac:dyDescent="0.3">
      <c r="A13" t="s">
        <v>308</v>
      </c>
      <c r="B13" t="s">
        <v>31</v>
      </c>
      <c r="D13" t="s">
        <v>49</v>
      </c>
      <c r="E13" t="s">
        <v>193</v>
      </c>
      <c r="G13" t="s">
        <v>309</v>
      </c>
      <c r="H13" t="s">
        <v>143</v>
      </c>
      <c r="J13" t="s">
        <v>310</v>
      </c>
      <c r="K13" t="s">
        <v>22</v>
      </c>
      <c r="M13" t="s">
        <v>311</v>
      </c>
      <c r="N13" t="s">
        <v>130</v>
      </c>
    </row>
    <row r="14" spans="1:20" x14ac:dyDescent="0.3">
      <c r="A14" t="s">
        <v>56</v>
      </c>
      <c r="B14" t="s">
        <v>80</v>
      </c>
      <c r="D14" t="s">
        <v>197</v>
      </c>
      <c r="E14" t="s">
        <v>193</v>
      </c>
      <c r="G14" t="s">
        <v>312</v>
      </c>
      <c r="H14" t="s">
        <v>143</v>
      </c>
      <c r="J14" t="s">
        <v>48</v>
      </c>
      <c r="K14" t="s">
        <v>48</v>
      </c>
      <c r="M14" t="s">
        <v>91</v>
      </c>
      <c r="N14" t="s">
        <v>91</v>
      </c>
    </row>
    <row r="15" spans="1:20" x14ac:dyDescent="0.3">
      <c r="A15" t="s">
        <v>313</v>
      </c>
      <c r="B15" t="s">
        <v>80</v>
      </c>
      <c r="D15" t="s">
        <v>193</v>
      </c>
      <c r="E15" t="s">
        <v>193</v>
      </c>
      <c r="G15" t="s">
        <v>85</v>
      </c>
      <c r="H15" t="s">
        <v>85</v>
      </c>
      <c r="J15" t="s">
        <v>39</v>
      </c>
      <c r="K15" t="s">
        <v>48</v>
      </c>
      <c r="M15" t="s">
        <v>87</v>
      </c>
      <c r="N15" t="s">
        <v>91</v>
      </c>
    </row>
    <row r="16" spans="1:20" x14ac:dyDescent="0.3">
      <c r="A16" t="s">
        <v>105</v>
      </c>
      <c r="B16" t="s">
        <v>80</v>
      </c>
      <c r="D16" t="s">
        <v>314</v>
      </c>
      <c r="E16" t="s">
        <v>193</v>
      </c>
      <c r="G16" t="s">
        <v>99</v>
      </c>
      <c r="H16" t="s">
        <v>85</v>
      </c>
      <c r="J16" t="s">
        <v>315</v>
      </c>
      <c r="K16" t="s">
        <v>48</v>
      </c>
      <c r="M16" t="s">
        <v>316</v>
      </c>
      <c r="N16" t="s">
        <v>91</v>
      </c>
    </row>
    <row r="17" spans="1:14" x14ac:dyDescent="0.3">
      <c r="A17" t="s">
        <v>317</v>
      </c>
      <c r="B17" t="s">
        <v>80</v>
      </c>
      <c r="D17" t="s">
        <v>33</v>
      </c>
      <c r="E17" t="s">
        <v>40</v>
      </c>
      <c r="G17" t="s">
        <v>36</v>
      </c>
      <c r="H17" t="s">
        <v>85</v>
      </c>
      <c r="J17" t="s">
        <v>192</v>
      </c>
      <c r="K17" t="s">
        <v>192</v>
      </c>
      <c r="M17" t="s">
        <v>101</v>
      </c>
      <c r="N17" t="s">
        <v>101</v>
      </c>
    </row>
    <row r="18" spans="1:14" x14ac:dyDescent="0.3">
      <c r="A18" t="s">
        <v>121</v>
      </c>
      <c r="B18" t="s">
        <v>121</v>
      </c>
      <c r="D18" t="s">
        <v>318</v>
      </c>
      <c r="E18" t="s">
        <v>40</v>
      </c>
      <c r="G18" t="s">
        <v>319</v>
      </c>
      <c r="H18" t="s">
        <v>85</v>
      </c>
      <c r="J18" t="s">
        <v>158</v>
      </c>
      <c r="K18" t="s">
        <v>192</v>
      </c>
      <c r="M18" t="s">
        <v>46</v>
      </c>
      <c r="N18" t="s">
        <v>101</v>
      </c>
    </row>
    <row r="19" spans="1:14" x14ac:dyDescent="0.3">
      <c r="A19" t="s">
        <v>151</v>
      </c>
      <c r="B19" t="s">
        <v>151</v>
      </c>
      <c r="D19" t="s">
        <v>58</v>
      </c>
      <c r="E19" t="s">
        <v>40</v>
      </c>
      <c r="G19" t="s">
        <v>184</v>
      </c>
      <c r="H19" t="s">
        <v>184</v>
      </c>
      <c r="J19" t="s">
        <v>320</v>
      </c>
      <c r="K19" t="s">
        <v>192</v>
      </c>
      <c r="M19" t="s">
        <v>321</v>
      </c>
      <c r="N19" t="s">
        <v>101</v>
      </c>
    </row>
    <row r="20" spans="1:14" x14ac:dyDescent="0.3">
      <c r="A20" t="s">
        <v>31</v>
      </c>
      <c r="B20" t="s">
        <v>31</v>
      </c>
      <c r="D20" t="s">
        <v>40</v>
      </c>
      <c r="E20" t="s">
        <v>40</v>
      </c>
      <c r="G20" t="s">
        <v>114</v>
      </c>
      <c r="H20" t="s">
        <v>184</v>
      </c>
      <c r="J20" t="s">
        <v>109</v>
      </c>
      <c r="K20" t="s">
        <v>109</v>
      </c>
      <c r="M20" t="s">
        <v>138</v>
      </c>
      <c r="N20" t="s">
        <v>138</v>
      </c>
    </row>
    <row r="21" spans="1:14" x14ac:dyDescent="0.3">
      <c r="A21" t="s">
        <v>80</v>
      </c>
      <c r="B21" t="s">
        <v>80</v>
      </c>
      <c r="D21" t="s">
        <v>322</v>
      </c>
      <c r="E21" t="s">
        <v>40</v>
      </c>
      <c r="G21" t="s">
        <v>177</v>
      </c>
      <c r="H21" t="s">
        <v>184</v>
      </c>
      <c r="J21" t="s">
        <v>64</v>
      </c>
      <c r="K21" t="s">
        <v>109</v>
      </c>
      <c r="M21" t="s">
        <v>161</v>
      </c>
      <c r="N21" t="s">
        <v>138</v>
      </c>
    </row>
    <row r="22" spans="1:14" x14ac:dyDescent="0.3">
      <c r="D22" t="s">
        <v>106</v>
      </c>
      <c r="E22" t="s">
        <v>118</v>
      </c>
      <c r="G22" t="s">
        <v>323</v>
      </c>
      <c r="H22" t="s">
        <v>184</v>
      </c>
      <c r="J22" t="s">
        <v>324</v>
      </c>
      <c r="K22" t="s">
        <v>109</v>
      </c>
      <c r="M22" t="s">
        <v>325</v>
      </c>
      <c r="N22" t="s">
        <v>138</v>
      </c>
    </row>
    <row r="23" spans="1:14" x14ac:dyDescent="0.3">
      <c r="D23" t="s">
        <v>326</v>
      </c>
      <c r="E23" t="s">
        <v>118</v>
      </c>
      <c r="G23" t="s">
        <v>137</v>
      </c>
      <c r="H23" t="s">
        <v>137</v>
      </c>
      <c r="J23" t="s">
        <v>95</v>
      </c>
      <c r="K23" t="s">
        <v>95</v>
      </c>
      <c r="M23" t="s">
        <v>71</v>
      </c>
      <c r="N23" t="s">
        <v>71</v>
      </c>
    </row>
    <row r="24" spans="1:14" x14ac:dyDescent="0.3">
      <c r="D24" t="s">
        <v>327</v>
      </c>
      <c r="E24" t="s">
        <v>118</v>
      </c>
      <c r="G24" t="s">
        <v>108</v>
      </c>
      <c r="H24" t="s">
        <v>137</v>
      </c>
      <c r="J24" t="s">
        <v>92</v>
      </c>
      <c r="K24" t="s">
        <v>95</v>
      </c>
      <c r="M24" t="s">
        <v>170</v>
      </c>
      <c r="N24" t="s">
        <v>71</v>
      </c>
    </row>
    <row r="25" spans="1:14" x14ac:dyDescent="0.3">
      <c r="D25" t="s">
        <v>118</v>
      </c>
      <c r="E25" t="s">
        <v>118</v>
      </c>
      <c r="G25" t="s">
        <v>28</v>
      </c>
      <c r="H25" t="s">
        <v>137</v>
      </c>
      <c r="J25" t="s">
        <v>328</v>
      </c>
      <c r="K25" t="s">
        <v>95</v>
      </c>
      <c r="M25" t="s">
        <v>329</v>
      </c>
      <c r="N25" t="s">
        <v>71</v>
      </c>
    </row>
    <row r="26" spans="1:14" x14ac:dyDescent="0.3">
      <c r="D26" t="s">
        <v>330</v>
      </c>
      <c r="E26" t="s">
        <v>118</v>
      </c>
      <c r="G26" t="s">
        <v>331</v>
      </c>
      <c r="H26" t="s">
        <v>137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P121"/>
  <sheetViews>
    <sheetView zoomScaleNormal="100" workbookViewId="0">
      <pane ySplit="1" topLeftCell="A2" activePane="bottomLeft" state="frozen"/>
      <selection pane="bottomLeft"/>
    </sheetView>
  </sheetViews>
  <sheetFormatPr defaultColWidth="8.6640625" defaultRowHeight="14.4" x14ac:dyDescent="0.3"/>
  <cols>
    <col min="1" max="16" width="28"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t="str">
        <f>TRIM(CLEAN(Raw_Data!A2))</f>
        <v>TSK-0001</v>
      </c>
      <c r="B2" s="2" t="str">
        <f>TRIM(CLEAN(Raw_Data!B2))</f>
        <v>CRM Migration</v>
      </c>
      <c r="C2" s="2" t="str">
        <f>IFERROR(VLOOKUP(TRIM(CLEAN(Raw_Data!C2)),Lookup_Lists!$G:$H,2,FALSE()),TRIM(CLEAN(Raw_Data!C2)))</f>
        <v>IT</v>
      </c>
      <c r="D2" s="2" t="str">
        <f>TRIM(CLEAN(Raw_Data!D2))</f>
        <v>Pooja Reddy</v>
      </c>
      <c r="E2" s="2" t="str">
        <f>IFERROR(VLOOKUP(TRIM(CLEAN(Raw_Data!E2)),Lookup_Lists!$M:$N,2,FALSE()),TRIM(CLEAN(Raw_Data!E2)))</f>
        <v>Manager</v>
      </c>
      <c r="F2" s="2" t="str">
        <f>IFERROR(VLOOKUP(TRIM(CLEAN(Raw_Data!F2)),Lookup_Lists!$A:$B,2,FALSE()),TRIM(CLEAN(Raw_Data!F2)))</f>
        <v>High</v>
      </c>
      <c r="G2" s="2" t="str">
        <f>IFERROR(VLOOKUP(TRIM(CLEAN(Raw_Data!G2)),Lookup_Lists!$J:$K,2,FALSE()),TRIM(CLEAN(Raw_Data!G2)))</f>
        <v>Research</v>
      </c>
      <c r="H2" s="10">
        <f>IF(Raw_Data!H2="","",Raw_Data!H2)</f>
        <v>45367</v>
      </c>
      <c r="I2" s="10">
        <f>IF(Raw_Data!I2="","",Raw_Data!I2)</f>
        <v>45419</v>
      </c>
      <c r="J2" s="10">
        <f>IF(Raw_Data!J2="","",Raw_Data!J2)</f>
        <v>45430</v>
      </c>
      <c r="K2" s="2" t="str">
        <f>IFERROR(VLOOKUP(TRIM(CLEAN(Raw_Data!K2)),Lookup_Lists!$D:$E,2,FALSE()),TRIM(CLEAN(Raw_Data!K2)))</f>
        <v>Completed</v>
      </c>
      <c r="L2" s="15">
        <f>IF(TRIM(CLEAN(Raw_Data!L2))="","",IFERROR(MIN(100,MAX(0,VALUE(SUBSTITUTE(TRIM(CLEAN(Raw_Data!L2)),"%",""))))/100,0))</f>
        <v>1</v>
      </c>
      <c r="M2" s="16">
        <f>IFERROR(IF(Raw_Data!M2="","",VALUE(Raw_Data!M2)),"")</f>
        <v>10.6</v>
      </c>
      <c r="N2" s="16">
        <f>IFERROR(IF(Raw_Data!N2="","",VALUE(Raw_Data!N2)),"")</f>
        <v>12.5</v>
      </c>
      <c r="O2" s="16">
        <f t="shared" ref="O2:O33" si="0">IFERROR(IF(AND(N2&lt;&gt;"",M2&lt;&gt;""),N2-M2,""),"")</f>
        <v>1.9000000000000004</v>
      </c>
      <c r="P2" s="2" t="str">
        <f>TRIM(CLEAN(Raw_Data!P2))</f>
        <v>Waiting for client feedback</v>
      </c>
    </row>
    <row r="3" spans="1:16" x14ac:dyDescent="0.3">
      <c r="A3" s="5" t="str">
        <f>TRIM(CLEAN(Raw_Data!A3))</f>
        <v>TSK-0002</v>
      </c>
      <c r="B3" s="5" t="str">
        <f>TRIM(CLEAN(Raw_Data!B3))</f>
        <v>Product Launch</v>
      </c>
      <c r="C3" s="5" t="str">
        <f>IFERROR(VLOOKUP(TRIM(CLEAN(Raw_Data!C3)),Lookup_Lists!$G:$H,2,FALSE()),TRIM(CLEAN(Raw_Data!C3)))</f>
        <v>Sales</v>
      </c>
      <c r="D3" s="5" t="str">
        <f>TRIM(CLEAN(Raw_Data!D3))</f>
        <v>Ananya Das</v>
      </c>
      <c r="E3" s="5" t="str">
        <f>IFERROR(VLOOKUP(TRIM(CLEAN(Raw_Data!E3)),Lookup_Lists!$M:$N,2,FALSE()),TRIM(CLEAN(Raw_Data!E3)))</f>
        <v>Analyst</v>
      </c>
      <c r="F3" s="5" t="str">
        <f>IFERROR(VLOOKUP(TRIM(CLEAN(Raw_Data!F3)),Lookup_Lists!$A:$B,2,FALSE()),TRIM(CLEAN(Raw_Data!F3)))</f>
        <v>Low</v>
      </c>
      <c r="G3" s="5" t="str">
        <f>IFERROR(VLOOKUP(TRIM(CLEAN(Raw_Data!G3)),Lookup_Lists!$J:$K,2,FALSE()),TRIM(CLEAN(Raw_Data!G3)))</f>
        <v>Design</v>
      </c>
      <c r="H3" s="13">
        <f>IF(Raw_Data!H3="","",Raw_Data!H3)</f>
        <v>45662</v>
      </c>
      <c r="I3" s="13">
        <f>IF(Raw_Data!I3="","",Raw_Data!I3)</f>
        <v>45708</v>
      </c>
      <c r="J3" s="13" t="str">
        <f>IF(Raw_Data!J3="","",Raw_Data!J3)</f>
        <v/>
      </c>
      <c r="K3" s="5" t="str">
        <f>IFERROR(VLOOKUP(TRIM(CLEAN(Raw_Data!K3)),Lookup_Lists!$D:$E,2,FALSE()),TRIM(CLEAN(Raw_Data!K3)))</f>
        <v>On Hold</v>
      </c>
      <c r="L3" s="17" t="str">
        <f>IF(TRIM(CLEAN(Raw_Data!L3))="","",IFERROR(MIN(100,MAX(0,VALUE(SUBSTITUTE(TRIM(CLEAN(Raw_Data!L3)),"%",""))))/100,0))</f>
        <v/>
      </c>
      <c r="M3" s="18">
        <f>IFERROR(IF(Raw_Data!M3="","",VALUE(Raw_Data!M3)),"")</f>
        <v>48.8</v>
      </c>
      <c r="N3" s="18" t="str">
        <f>IFERROR(IF(Raw_Data!N3="","",VALUE(Raw_Data!N3)),"")</f>
        <v/>
      </c>
      <c r="O3" s="18" t="str">
        <f t="shared" si="0"/>
        <v/>
      </c>
      <c r="P3" s="5" t="str">
        <f>TRIM(CLEAN(Raw_Data!P3))</f>
        <v/>
      </c>
    </row>
    <row r="4" spans="1:16" x14ac:dyDescent="0.3">
      <c r="A4" s="2" t="str">
        <f>TRIM(CLEAN(Raw_Data!A4))</f>
        <v>TSK-0003</v>
      </c>
      <c r="B4" s="2" t="str">
        <f>TRIM(CLEAN(Raw_Data!B4))</f>
        <v>Marketing Campaign</v>
      </c>
      <c r="C4" s="2" t="str">
        <f>IFERROR(VLOOKUP(TRIM(CLEAN(Raw_Data!C4)),Lookup_Lists!$G:$H,2,FALSE()),TRIM(CLEAN(Raw_Data!C4)))</f>
        <v>HR</v>
      </c>
      <c r="D4" s="2" t="str">
        <f>TRIM(CLEAN(Raw_Data!D4))</f>
        <v>Vikram Singh</v>
      </c>
      <c r="E4" s="2" t="str">
        <f>IFERROR(VLOOKUP(TRIM(CLEAN(Raw_Data!E4)),Lookup_Lists!$M:$N,2,FALSE()),TRIM(CLEAN(Raw_Data!E4)))</f>
        <v>Developer</v>
      </c>
      <c r="F4" s="2" t="str">
        <f>IFERROR(VLOOKUP(TRIM(CLEAN(Raw_Data!F4)),Lookup_Lists!$A:$B,2,FALSE()),TRIM(CLEAN(Raw_Data!F4)))</f>
        <v>High</v>
      </c>
      <c r="G4" s="2" t="str">
        <f>IFERROR(VLOOKUP(TRIM(CLEAN(Raw_Data!G4)),Lookup_Lists!$J:$K,2,FALSE()),TRIM(CLEAN(Raw_Data!G4)))</f>
        <v>Planning</v>
      </c>
      <c r="H4" s="10">
        <f>IF(Raw_Data!H4="","",Raw_Data!H4)</f>
        <v>45348</v>
      </c>
      <c r="I4" s="10">
        <f>IF(Raw_Data!I4="","",Raw_Data!I4)</f>
        <v>45358</v>
      </c>
      <c r="J4" s="10" t="str">
        <f>IF(Raw_Data!J4="","",Raw_Data!J4)</f>
        <v/>
      </c>
      <c r="K4" s="2" t="str">
        <f>IFERROR(VLOOKUP(TRIM(CLEAN(Raw_Data!K4)),Lookup_Lists!$D:$E,2,FALSE()),TRIM(CLEAN(Raw_Data!K4)))</f>
        <v>On Hold</v>
      </c>
      <c r="L4" s="15" t="str">
        <f>IF(TRIM(CLEAN(Raw_Data!L4))="","",IFERROR(MIN(100,MAX(0,VALUE(SUBSTITUTE(TRIM(CLEAN(Raw_Data!L4)),"%",""))))/100,0))</f>
        <v/>
      </c>
      <c r="M4" s="16">
        <f>IFERROR(IF(Raw_Data!M4="","",VALUE(Raw_Data!M4)),"")</f>
        <v>68.400000000000006</v>
      </c>
      <c r="N4" s="16" t="str">
        <f>IFERROR(IF(Raw_Data!N4="","",VALUE(Raw_Data!N4)),"")</f>
        <v/>
      </c>
      <c r="O4" s="16" t="str">
        <f t="shared" si="0"/>
        <v/>
      </c>
      <c r="P4" s="2" t="str">
        <f>TRIM(CLEAN(Raw_Data!P4))</f>
        <v>Resource conflict</v>
      </c>
    </row>
    <row r="5" spans="1:16" x14ac:dyDescent="0.3">
      <c r="A5" s="5" t="str">
        <f>TRIM(CLEAN(Raw_Data!A5))</f>
        <v>TSK-0004</v>
      </c>
      <c r="B5" s="5" t="str">
        <f>TRIM(CLEAN(Raw_Data!B5))</f>
        <v>Data Analytics Platform</v>
      </c>
      <c r="C5" s="5" t="str">
        <f>IFERROR(VLOOKUP(TRIM(CLEAN(Raw_Data!C5)),Lookup_Lists!$G:$H,2,FALSE()),TRIM(CLEAN(Raw_Data!C5)))</f>
        <v>Finance</v>
      </c>
      <c r="D5" s="5" t="str">
        <f>TRIM(CLEAN(Raw_Data!D5))</f>
        <v>Karan Malhotra</v>
      </c>
      <c r="E5" s="5" t="str">
        <f>IFERROR(VLOOKUP(TRIM(CLEAN(Raw_Data!E5)),Lookup_Lists!$M:$N,2,FALSE()),TRIM(CLEAN(Raw_Data!E5)))</f>
        <v>Tester</v>
      </c>
      <c r="F5" s="5" t="str">
        <f>IFERROR(VLOOKUP(TRIM(CLEAN(Raw_Data!F5)),Lookup_Lists!$A:$B,2,FALSE()),TRIM(CLEAN(Raw_Data!F5)))</f>
        <v>High</v>
      </c>
      <c r="G5" s="5" t="str">
        <f>IFERROR(VLOOKUP(TRIM(CLEAN(Raw_Data!G5)),Lookup_Lists!$J:$K,2,FALSE()),TRIM(CLEAN(Raw_Data!G5)))</f>
        <v>Planning</v>
      </c>
      <c r="H5" s="13">
        <f>IF(Raw_Data!H5="","",Raw_Data!H5)</f>
        <v>45617</v>
      </c>
      <c r="I5" s="13">
        <f>IF(Raw_Data!I5="","",Raw_Data!I5)</f>
        <v>45661</v>
      </c>
      <c r="J5" s="13" t="str">
        <f>IF(Raw_Data!J5="","",Raw_Data!J5)</f>
        <v/>
      </c>
      <c r="K5" s="5" t="str">
        <f>IFERROR(VLOOKUP(TRIM(CLEAN(Raw_Data!K5)),Lookup_Lists!$D:$E,2,FALSE()),TRIM(CLEAN(Raw_Data!K5)))</f>
        <v>Not Started</v>
      </c>
      <c r="L5" s="17" t="str">
        <f>IF(TRIM(CLEAN(Raw_Data!L5))="","",IFERROR(MIN(100,MAX(0,VALUE(SUBSTITUTE(TRIM(CLEAN(Raw_Data!L5)),"%",""))))/100,0))</f>
        <v/>
      </c>
      <c r="M5" s="18">
        <f>IFERROR(IF(Raw_Data!M5="","",VALUE(Raw_Data!M5)),"")</f>
        <v>18.600000000000001</v>
      </c>
      <c r="N5" s="18" t="str">
        <f>IFERROR(IF(Raw_Data!N5="","",VALUE(Raw_Data!N5)),"")</f>
        <v/>
      </c>
      <c r="O5" s="18" t="str">
        <f t="shared" si="0"/>
        <v/>
      </c>
      <c r="P5" s="5" t="str">
        <f>TRIM(CLEAN(Raw_Data!P5))</f>
        <v>Need more resources</v>
      </c>
    </row>
    <row r="6" spans="1:16" x14ac:dyDescent="0.3">
      <c r="A6" s="2" t="str">
        <f>TRIM(CLEAN(Raw_Data!A6))</f>
        <v>TSK-0005</v>
      </c>
      <c r="B6" s="2" t="str">
        <f>TRIM(CLEAN(Raw_Data!B6))</f>
        <v>Employee Onboarding</v>
      </c>
      <c r="C6" s="2" t="str">
        <f>IFERROR(VLOOKUP(TRIM(CLEAN(Raw_Data!C6)),Lookup_Lists!$G:$H,2,FALSE()),TRIM(CLEAN(Raw_Data!C6)))</f>
        <v>IT</v>
      </c>
      <c r="D6" s="2" t="str">
        <f>TRIM(CLEAN(Raw_Data!D6))</f>
        <v>Meera Thakur</v>
      </c>
      <c r="E6" s="2" t="str">
        <f>IFERROR(VLOOKUP(TRIM(CLEAN(Raw_Data!E6)),Lookup_Lists!$M:$N,2,FALSE()),TRIM(CLEAN(Raw_Data!E6)))</f>
        <v>Manager</v>
      </c>
      <c r="F6" s="2" t="str">
        <f>IFERROR(VLOOKUP(TRIM(CLEAN(Raw_Data!F6)),Lookup_Lists!$A:$B,2,FALSE()),TRIM(CLEAN(Raw_Data!F6)))</f>
        <v>Critical</v>
      </c>
      <c r="G6" s="2" t="str">
        <f>IFERROR(VLOOKUP(TRIM(CLEAN(Raw_Data!G6)),Lookup_Lists!$J:$K,2,FALSE()),TRIM(CLEAN(Raw_Data!G6)))</f>
        <v>Testing</v>
      </c>
      <c r="H6" s="10">
        <f>IF(Raw_Data!H6="","",Raw_Data!H6)</f>
        <v>45490</v>
      </c>
      <c r="I6" s="10">
        <f>IF(Raw_Data!I6="","",Raw_Data!I6)</f>
        <v>45512</v>
      </c>
      <c r="J6" s="10" t="str">
        <f>IF(Raw_Data!J6="","",Raw_Data!J6)</f>
        <v/>
      </c>
      <c r="K6" s="2" t="str">
        <f>IFERROR(VLOOKUP(TRIM(CLEAN(Raw_Data!K6)),Lookup_Lists!$D:$E,2,FALSE()),TRIM(CLEAN(Raw_Data!K6)))</f>
        <v>On Hold</v>
      </c>
      <c r="L6" s="15">
        <f>IF(TRIM(CLEAN(Raw_Data!L6))="","",IFERROR(MIN(100,MAX(0,VALUE(SUBSTITUTE(TRIM(CLEAN(Raw_Data!L6)),"%",""))))/100,0))</f>
        <v>0.28000000000000003</v>
      </c>
      <c r="M6" s="16">
        <f>IFERROR(IF(Raw_Data!M6="","",VALUE(Raw_Data!M6)),"")</f>
        <v>32.1</v>
      </c>
      <c r="N6" s="16" t="str">
        <f>IFERROR(IF(Raw_Data!N6="","",VALUE(Raw_Data!N6)),"")</f>
        <v/>
      </c>
      <c r="O6" s="16" t="str">
        <f t="shared" si="0"/>
        <v/>
      </c>
      <c r="P6" s="2" t="str">
        <f>TRIM(CLEAN(Raw_Data!P6))</f>
        <v>final review stage</v>
      </c>
    </row>
    <row r="7" spans="1:16" x14ac:dyDescent="0.3">
      <c r="A7" s="5" t="str">
        <f>TRIM(CLEAN(Raw_Data!A7))</f>
        <v>TSK-0006</v>
      </c>
      <c r="B7" s="5" t="str">
        <f>TRIM(CLEAN(Raw_Data!B7))</f>
        <v>CRM Migration</v>
      </c>
      <c r="C7" s="5" t="str">
        <f>IFERROR(VLOOKUP(TRIM(CLEAN(Raw_Data!C7)),Lookup_Lists!$G:$H,2,FALSE()),TRIM(CLEAN(Raw_Data!C7)))</f>
        <v>Finance</v>
      </c>
      <c r="D7" s="5" t="str">
        <f>TRIM(CLEAN(Raw_Data!D7))</f>
        <v>Deepak Nair</v>
      </c>
      <c r="E7" s="5" t="str">
        <f>IFERROR(VLOOKUP(TRIM(CLEAN(Raw_Data!E7)),Lookup_Lists!$M:$N,2,FALSE()),TRIM(CLEAN(Raw_Data!E7)))</f>
        <v>Manager</v>
      </c>
      <c r="F7" s="5" t="str">
        <f>IFERROR(VLOOKUP(TRIM(CLEAN(Raw_Data!F7)),Lookup_Lists!$A:$B,2,FALSE()),TRIM(CLEAN(Raw_Data!F7)))</f>
        <v>High</v>
      </c>
      <c r="G7" s="5" t="str">
        <f>IFERROR(VLOOKUP(TRIM(CLEAN(Raw_Data!G7)),Lookup_Lists!$J:$K,2,FALSE()),TRIM(CLEAN(Raw_Data!G7)))</f>
        <v>Documentation</v>
      </c>
      <c r="H7" s="13">
        <f>IF(Raw_Data!H7="","",Raw_Data!H7)</f>
        <v>45490</v>
      </c>
      <c r="I7" s="13">
        <f>IF(Raw_Data!I7="","",Raw_Data!I7)</f>
        <v>45512</v>
      </c>
      <c r="J7" s="13" t="str">
        <f>IF(Raw_Data!J7="","",Raw_Data!J7)</f>
        <v/>
      </c>
      <c r="K7" s="5" t="str">
        <f>IFERROR(VLOOKUP(TRIM(CLEAN(Raw_Data!K7)),Lookup_Lists!$D:$E,2,FALSE()),TRIM(CLEAN(Raw_Data!K7)))</f>
        <v>In Progress</v>
      </c>
      <c r="L7" s="17">
        <f>IF(TRIM(CLEAN(Raw_Data!L7))="","",IFERROR(MIN(100,MAX(0,VALUE(SUBSTITUTE(TRIM(CLEAN(Raw_Data!L7)),"%",""))))/100,0))</f>
        <v>0.73</v>
      </c>
      <c r="M7" s="18">
        <f>IFERROR(IF(Raw_Data!M7="","",VALUE(Raw_Data!M7)),"")</f>
        <v>66.5</v>
      </c>
      <c r="N7" s="18">
        <f>IFERROR(IF(Raw_Data!N7="","",VALUE(Raw_Data!N7)),"")</f>
        <v>25.2</v>
      </c>
      <c r="O7" s="18">
        <f t="shared" si="0"/>
        <v>-41.3</v>
      </c>
      <c r="P7" s="5" t="str">
        <f>TRIM(CLEAN(Raw_Data!P7))</f>
        <v>On track</v>
      </c>
    </row>
    <row r="8" spans="1:16" x14ac:dyDescent="0.3">
      <c r="A8" s="2" t="str">
        <f>TRIM(CLEAN(Raw_Data!A8))</f>
        <v>TSK-0007</v>
      </c>
      <c r="B8" s="2" t="str">
        <f>TRIM(CLEAN(Raw_Data!B8))</f>
        <v>Mobile App v2</v>
      </c>
      <c r="C8" s="2" t="str">
        <f>IFERROR(VLOOKUP(TRIM(CLEAN(Raw_Data!C8)),Lookup_Lists!$G:$H,2,FALSE()),TRIM(CLEAN(Raw_Data!C8)))</f>
        <v>HR</v>
      </c>
      <c r="D8" s="2" t="str">
        <f>TRIM(CLEAN(Raw_Data!D8))</f>
        <v>Sneha Gupta</v>
      </c>
      <c r="E8" s="2" t="str">
        <f>IFERROR(VLOOKUP(TRIM(CLEAN(Raw_Data!E8)),Lookup_Lists!$M:$N,2,FALSE()),TRIM(CLEAN(Raw_Data!E8)))</f>
        <v>Lead</v>
      </c>
      <c r="F8" s="2" t="str">
        <f>IFERROR(VLOOKUP(TRIM(CLEAN(Raw_Data!F8)),Lookup_Lists!$A:$B,2,FALSE()),TRIM(CLEAN(Raw_Data!F8)))</f>
        <v>Medium</v>
      </c>
      <c r="G8" s="2" t="str">
        <f>IFERROR(VLOOKUP(TRIM(CLEAN(Raw_Data!G8)),Lookup_Lists!$J:$K,2,FALSE()),TRIM(CLEAN(Raw_Data!G8)))</f>
        <v>Documentation</v>
      </c>
      <c r="H8" s="10">
        <f>IF(Raw_Data!H8="","",Raw_Data!H8)</f>
        <v>45369</v>
      </c>
      <c r="I8" s="10">
        <f>IF(Raw_Data!I8="","",Raw_Data!I8)</f>
        <v>45390</v>
      </c>
      <c r="J8" s="10" t="str">
        <f>IF(Raw_Data!J8="","",Raw_Data!J8)</f>
        <v/>
      </c>
      <c r="K8" s="2" t="str">
        <f>IFERROR(VLOOKUP(TRIM(CLEAN(Raw_Data!K8)),Lookup_Lists!$D:$E,2,FALSE()),TRIM(CLEAN(Raw_Data!K8)))</f>
        <v>In Progress</v>
      </c>
      <c r="L8" s="15">
        <f>IF(TRIM(CLEAN(Raw_Data!L8))="","",IFERROR(MIN(100,MAX(0,VALUE(SUBSTITUTE(TRIM(CLEAN(Raw_Data!L8)),"%",""))))/100,0))</f>
        <v>0.65</v>
      </c>
      <c r="M8" s="16">
        <f>IFERROR(IF(Raw_Data!M8="","",VALUE(Raw_Data!M8)),"")</f>
        <v>60.8</v>
      </c>
      <c r="N8" s="16">
        <f>IFERROR(IF(Raw_Data!N8="","",VALUE(Raw_Data!N8)),"")</f>
        <v>32.799999999999997</v>
      </c>
      <c r="O8" s="16">
        <f t="shared" si="0"/>
        <v>-28</v>
      </c>
      <c r="P8" s="2" t="str">
        <f>TRIM(CLEAN(Raw_Data!P8))</f>
        <v>Stakeholder review next week</v>
      </c>
    </row>
    <row r="9" spans="1:16" x14ac:dyDescent="0.3">
      <c r="A9" s="5" t="str">
        <f>TRIM(CLEAN(Raw_Data!A9))</f>
        <v>TSK-0008</v>
      </c>
      <c r="B9" s="5" t="str">
        <f>TRIM(CLEAN(Raw_Data!B9))</f>
        <v>Annual Audit</v>
      </c>
      <c r="C9" s="5" t="str">
        <f>IFERROR(VLOOKUP(TRIM(CLEAN(Raw_Data!C9)),Lookup_Lists!$G:$H,2,FALSE()),TRIM(CLEAN(Raw_Data!C9)))</f>
        <v>Sales</v>
      </c>
      <c r="D9" s="5" t="str">
        <f>TRIM(CLEAN(Raw_Data!D9))</f>
        <v>Kavita Rao</v>
      </c>
      <c r="E9" s="5" t="str">
        <f>IFERROR(VLOOKUP(TRIM(CLEAN(Raw_Data!E9)),Lookup_Lists!$M:$N,2,FALSE()),TRIM(CLEAN(Raw_Data!E9)))</f>
        <v>Analyst</v>
      </c>
      <c r="F9" s="5" t="str">
        <f>IFERROR(VLOOKUP(TRIM(CLEAN(Raw_Data!F9)),Lookup_Lists!$A:$B,2,FALSE()),TRIM(CLEAN(Raw_Data!F9)))</f>
        <v>Critical</v>
      </c>
      <c r="G9" s="5" t="str">
        <f>IFERROR(VLOOKUP(TRIM(CLEAN(Raw_Data!G9)),Lookup_Lists!$J:$K,2,FALSE()),TRIM(CLEAN(Raw_Data!G9)))</f>
        <v>Development</v>
      </c>
      <c r="H9" s="13">
        <f>IF(Raw_Data!H9="","",Raw_Data!H9)</f>
        <v>45352</v>
      </c>
      <c r="I9" s="13">
        <f>IF(Raw_Data!I9="","",Raw_Data!I9)</f>
        <v>45366</v>
      </c>
      <c r="J9" s="13" t="str">
        <f>IF(Raw_Data!J9="","",Raw_Data!J9)</f>
        <v/>
      </c>
      <c r="K9" s="5" t="str">
        <f>IFERROR(VLOOKUP(TRIM(CLEAN(Raw_Data!K9)),Lookup_Lists!$D:$E,2,FALSE()),TRIM(CLEAN(Raw_Data!K9)))</f>
        <v>In Progress</v>
      </c>
      <c r="L9" s="17" t="str">
        <f>IF(TRIM(CLEAN(Raw_Data!L9))="","",IFERROR(MIN(100,MAX(0,VALUE(SUBSTITUTE(TRIM(CLEAN(Raw_Data!L9)),"%",""))))/100,0))</f>
        <v/>
      </c>
      <c r="M9" s="18">
        <f>IFERROR(IF(Raw_Data!M9="","",VALUE(Raw_Data!M9)),"")</f>
        <v>33</v>
      </c>
      <c r="N9" s="18">
        <f>IFERROR(IF(Raw_Data!N9="","",VALUE(Raw_Data!N9)),"")</f>
        <v>16.7</v>
      </c>
      <c r="O9" s="18">
        <f t="shared" si="0"/>
        <v>-16.3</v>
      </c>
      <c r="P9" s="5" t="str">
        <f>TRIM(CLEAN(Raw_Data!P9))</f>
        <v>Priority shifted</v>
      </c>
    </row>
    <row r="10" spans="1:16" x14ac:dyDescent="0.3">
      <c r="A10" s="2" t="str">
        <f>TRIM(CLEAN(Raw_Data!A10))</f>
        <v>TSK-0009</v>
      </c>
      <c r="B10" s="2" t="str">
        <f>TRIM(CLEAN(Raw_Data!B10))</f>
        <v>CRM Migration</v>
      </c>
      <c r="C10" s="2" t="str">
        <f>IFERROR(VLOOKUP(TRIM(CLEAN(Raw_Data!C10)),Lookup_Lists!$G:$H,2,FALSE()),TRIM(CLEAN(Raw_Data!C10)))</f>
        <v>HR</v>
      </c>
      <c r="D10" s="2" t="str">
        <f>TRIM(CLEAN(Raw_Data!D10))</f>
        <v>Sanjay Kulkarni</v>
      </c>
      <c r="E10" s="2" t="str">
        <f>IFERROR(VLOOKUP(TRIM(CLEAN(Raw_Data!E10)),Lookup_Lists!$M:$N,2,FALSE()),TRIM(CLEAN(Raw_Data!E10)))</f>
        <v>Designer</v>
      </c>
      <c r="F10" s="2" t="str">
        <f>IFERROR(VLOOKUP(TRIM(CLEAN(Raw_Data!F10)),Lookup_Lists!$A:$B,2,FALSE()),TRIM(CLEAN(Raw_Data!F10)))</f>
        <v>High</v>
      </c>
      <c r="G10" s="2" t="str">
        <f>IFERROR(VLOOKUP(TRIM(CLEAN(Raw_Data!G10)),Lookup_Lists!$J:$K,2,FALSE()),TRIM(CLEAN(Raw_Data!G10)))</f>
        <v>Planning</v>
      </c>
      <c r="H10" s="10">
        <f>IF(Raw_Data!H10="","",Raw_Data!H10)</f>
        <v>45518</v>
      </c>
      <c r="I10" s="10">
        <f>IF(Raw_Data!I10="","",Raw_Data!I10)</f>
        <v>45533</v>
      </c>
      <c r="J10" s="10" t="str">
        <f>IF(Raw_Data!J10="","",Raw_Data!J10)</f>
        <v/>
      </c>
      <c r="K10" s="2" t="str">
        <f>IFERROR(VLOOKUP(TRIM(CLEAN(Raw_Data!K10)),Lookup_Lists!$D:$E,2,FALSE()),TRIM(CLEAN(Raw_Data!K10)))</f>
        <v>On Hold</v>
      </c>
      <c r="L10" s="15" t="str">
        <f>IF(TRIM(CLEAN(Raw_Data!L10))="","",IFERROR(MIN(100,MAX(0,VALUE(SUBSTITUTE(TRIM(CLEAN(Raw_Data!L10)),"%",""))))/100,0))</f>
        <v/>
      </c>
      <c r="M10" s="16">
        <f>IFERROR(IF(Raw_Data!M10="","",VALUE(Raw_Data!M10)),"")</f>
        <v>70.599999999999994</v>
      </c>
      <c r="N10" s="16">
        <f>IFERROR(IF(Raw_Data!N10="","",VALUE(Raw_Data!N10)),"")</f>
        <v>0</v>
      </c>
      <c r="O10" s="16">
        <f t="shared" si="0"/>
        <v>-70.599999999999994</v>
      </c>
      <c r="P10" s="2" t="str">
        <f>TRIM(CLEAN(Raw_Data!P10))</f>
        <v>Rescheduled</v>
      </c>
    </row>
    <row r="11" spans="1:16" x14ac:dyDescent="0.3">
      <c r="A11" s="5" t="str">
        <f>TRIM(CLEAN(Raw_Data!A11))</f>
        <v>TSK-0010</v>
      </c>
      <c r="B11" s="5" t="str">
        <f>TRIM(CLEAN(Raw_Data!B11))</f>
        <v>Supply Chain Optimization</v>
      </c>
      <c r="C11" s="5" t="str">
        <f>IFERROR(VLOOKUP(TRIM(CLEAN(Raw_Data!C11)),Lookup_Lists!$G:$H,2,FALSE()),TRIM(CLEAN(Raw_Data!C11)))</f>
        <v>Finance</v>
      </c>
      <c r="D11" s="5" t="str">
        <f>TRIM(CLEAN(Raw_Data!D11))</f>
        <v>Meera Thakur</v>
      </c>
      <c r="E11" s="5" t="str">
        <f>IFERROR(VLOOKUP(TRIM(CLEAN(Raw_Data!E11)),Lookup_Lists!$M:$N,2,FALSE()),TRIM(CLEAN(Raw_Data!E11)))</f>
        <v>Designer</v>
      </c>
      <c r="F11" s="5" t="str">
        <f>IFERROR(VLOOKUP(TRIM(CLEAN(Raw_Data!F11)),Lookup_Lists!$A:$B,2,FALSE()),TRIM(CLEAN(Raw_Data!F11)))</f>
        <v>Critical</v>
      </c>
      <c r="G11" s="5" t="str">
        <f>IFERROR(VLOOKUP(TRIM(CLEAN(Raw_Data!G11)),Lookup_Lists!$J:$K,2,FALSE()),TRIM(CLEAN(Raw_Data!G11)))</f>
        <v>Deployment</v>
      </c>
      <c r="H11" s="13">
        <f>IF(Raw_Data!H11="","",Raw_Data!H11)</f>
        <v>45607</v>
      </c>
      <c r="I11" s="13">
        <f>IF(Raw_Data!I11="","",Raw_Data!I11)</f>
        <v>45624</v>
      </c>
      <c r="J11" s="13" t="str">
        <f>IF(Raw_Data!J11="","",Raw_Data!J11)</f>
        <v/>
      </c>
      <c r="K11" s="5" t="str">
        <f>IFERROR(VLOOKUP(TRIM(CLEAN(Raw_Data!K11)),Lookup_Lists!$D:$E,2,FALSE()),TRIM(CLEAN(Raw_Data!K11)))</f>
        <v>In Progress</v>
      </c>
      <c r="L11" s="17">
        <f>IF(TRIM(CLEAN(Raw_Data!L11))="","",IFERROR(MIN(100,MAX(0,VALUE(SUBSTITUTE(TRIM(CLEAN(Raw_Data!L11)),"%",""))))/100,0))</f>
        <v>0.56999999999999995</v>
      </c>
      <c r="M11" s="18">
        <f>IFERROR(IF(Raw_Data!M11="","",VALUE(Raw_Data!M11)),"")</f>
        <v>49.5</v>
      </c>
      <c r="N11" s="18">
        <f>IFERROR(IF(Raw_Data!N11="","",VALUE(Raw_Data!N11)),"")</f>
        <v>6.8</v>
      </c>
      <c r="O11" s="18">
        <f t="shared" si="0"/>
        <v>-42.7</v>
      </c>
      <c r="P11" s="5" t="str">
        <f>TRIM(CLEAN(Raw_Data!P11))</f>
        <v>Stakeholder review next week</v>
      </c>
    </row>
    <row r="12" spans="1:16" x14ac:dyDescent="0.3">
      <c r="A12" s="2" t="str">
        <f>TRIM(CLEAN(Raw_Data!A12))</f>
        <v>TSK-0011</v>
      </c>
      <c r="B12" s="2" t="str">
        <f>TRIM(CLEAN(Raw_Data!B12))</f>
        <v>Product Launch</v>
      </c>
      <c r="C12" s="2" t="str">
        <f>IFERROR(VLOOKUP(TRIM(CLEAN(Raw_Data!C12)),Lookup_Lists!$G:$H,2,FALSE()),TRIM(CLEAN(Raw_Data!C12)))</f>
        <v>IT</v>
      </c>
      <c r="D12" s="2" t="str">
        <f>TRIM(CLEAN(Raw_Data!D12))</f>
        <v>Sneha Gupta</v>
      </c>
      <c r="E12" s="2" t="str">
        <f>IFERROR(VLOOKUP(TRIM(CLEAN(Raw_Data!E12)),Lookup_Lists!$M:$N,2,FALSE()),TRIM(CLEAN(Raw_Data!E12)))</f>
        <v>Analyst</v>
      </c>
      <c r="F12" s="2" t="str">
        <f>IFERROR(VLOOKUP(TRIM(CLEAN(Raw_Data!F12)),Lookup_Lists!$A:$B,2,FALSE()),TRIM(CLEAN(Raw_Data!F12)))</f>
        <v>High</v>
      </c>
      <c r="G12" s="2" t="str">
        <f>IFERROR(VLOOKUP(TRIM(CLEAN(Raw_Data!G12)),Lookup_Lists!$J:$K,2,FALSE()),TRIM(CLEAN(Raw_Data!G12)))</f>
        <v>Deployment</v>
      </c>
      <c r="H12" s="10">
        <f>IF(Raw_Data!H12="","",Raw_Data!H12)</f>
        <v>45331</v>
      </c>
      <c r="I12" s="10">
        <f>IF(Raw_Data!I12="","",Raw_Data!I12)</f>
        <v>45384</v>
      </c>
      <c r="J12" s="10" t="str">
        <f>IF(Raw_Data!J12="","",Raw_Data!J12)</f>
        <v/>
      </c>
      <c r="K12" s="2" t="str">
        <f>IFERROR(VLOOKUP(TRIM(CLEAN(Raw_Data!K12)),Lookup_Lists!$D:$E,2,FALSE()),TRIM(CLEAN(Raw_Data!K12)))</f>
        <v>In Progress</v>
      </c>
      <c r="L12" s="15">
        <f>IF(TRIM(CLEAN(Raw_Data!L12))="","",IFERROR(MIN(100,MAX(0,VALUE(SUBSTITUTE(TRIM(CLEAN(Raw_Data!L12)),"%",""))))/100,0))</f>
        <v>0.62</v>
      </c>
      <c r="M12" s="16">
        <f>IFERROR(IF(Raw_Data!M12="","",VALUE(Raw_Data!M12)),"")</f>
        <v>24.1</v>
      </c>
      <c r="N12" s="16">
        <f>IFERROR(IF(Raw_Data!N12="","",VALUE(Raw_Data!N12)),"")</f>
        <v>10.3</v>
      </c>
      <c r="O12" s="16">
        <f t="shared" si="0"/>
        <v>-13.8</v>
      </c>
      <c r="P12" s="2" t="str">
        <f>TRIM(CLEAN(Raw_Data!P12))</f>
        <v>Almost done</v>
      </c>
    </row>
    <row r="13" spans="1:16" x14ac:dyDescent="0.3">
      <c r="A13" s="5" t="str">
        <f>TRIM(CLEAN(Raw_Data!A13))</f>
        <v>TSK-0012</v>
      </c>
      <c r="B13" s="5" t="str">
        <f>TRIM(CLEAN(Raw_Data!B13))</f>
        <v>Product Launch</v>
      </c>
      <c r="C13" s="5" t="str">
        <f>IFERROR(VLOOKUP(TRIM(CLEAN(Raw_Data!C13)),Lookup_Lists!$G:$H,2,FALSE()),TRIM(CLEAN(Raw_Data!C13)))</f>
        <v>HR</v>
      </c>
      <c r="D13" s="5" t="str">
        <f>TRIM(CLEAN(Raw_Data!D13))</f>
        <v>Arjun Mehta</v>
      </c>
      <c r="E13" s="5" t="str">
        <f>IFERROR(VLOOKUP(TRIM(CLEAN(Raw_Data!E13)),Lookup_Lists!$M:$N,2,FALSE()),TRIM(CLEAN(Raw_Data!E13)))</f>
        <v>Tester</v>
      </c>
      <c r="F13" s="5" t="str">
        <f>IFERROR(VLOOKUP(TRIM(CLEAN(Raw_Data!F13)),Lookup_Lists!$A:$B,2,FALSE()),TRIM(CLEAN(Raw_Data!F13)))</f>
        <v>Medium</v>
      </c>
      <c r="G13" s="5" t="str">
        <f>IFERROR(VLOOKUP(TRIM(CLEAN(Raw_Data!G13)),Lookup_Lists!$J:$K,2,FALSE()),TRIM(CLEAN(Raw_Data!G13)))</f>
        <v>Deployment</v>
      </c>
      <c r="H13" s="13">
        <f>IF(Raw_Data!H13="","",Raw_Data!H13)</f>
        <v>45527</v>
      </c>
      <c r="I13" s="13">
        <f>IF(Raw_Data!I13="","",Raw_Data!I13)</f>
        <v>45539</v>
      </c>
      <c r="J13" s="13" t="str">
        <f>IF(Raw_Data!J13="","",Raw_Data!J13)</f>
        <v/>
      </c>
      <c r="K13" s="5" t="str">
        <f>IFERROR(VLOOKUP(TRIM(CLEAN(Raw_Data!K13)),Lookup_Lists!$D:$E,2,FALSE()),TRIM(CLEAN(Raw_Data!K13)))</f>
        <v>In Progress</v>
      </c>
      <c r="L13" s="17">
        <f>IF(TRIM(CLEAN(Raw_Data!L13))="","",IFERROR(MIN(100,MAX(0,VALUE(SUBSTITUTE(TRIM(CLEAN(Raw_Data!L13)),"%",""))))/100,0))</f>
        <v>0.38</v>
      </c>
      <c r="M13" s="18">
        <f>IFERROR(IF(Raw_Data!M13="","",VALUE(Raw_Data!M13)),"")</f>
        <v>48.7</v>
      </c>
      <c r="N13" s="18" t="str">
        <f>IFERROR(IF(Raw_Data!N13="","",VALUE(Raw_Data!N13)),"")</f>
        <v/>
      </c>
      <c r="O13" s="18" t="str">
        <f t="shared" si="0"/>
        <v/>
      </c>
      <c r="P13" s="5" t="str">
        <f>TRIM(CLEAN(Raw_Data!P13))</f>
        <v>Needs QA sign-off</v>
      </c>
    </row>
    <row r="14" spans="1:16" x14ac:dyDescent="0.3">
      <c r="A14" s="2" t="str">
        <f>TRIM(CLEAN(Raw_Data!A14))</f>
        <v>TSK-0013</v>
      </c>
      <c r="B14" s="2" t="str">
        <f>TRIM(CLEAN(Raw_Data!B14))</f>
        <v>CRM Migration</v>
      </c>
      <c r="C14" s="2" t="str">
        <f>IFERROR(VLOOKUP(TRIM(CLEAN(Raw_Data!C14)),Lookup_Lists!$G:$H,2,FALSE()),TRIM(CLEAN(Raw_Data!C14)))</f>
        <v>IT</v>
      </c>
      <c r="D14" s="2" t="str">
        <f>TRIM(CLEAN(Raw_Data!D14))</f>
        <v>Sneha Gupta</v>
      </c>
      <c r="E14" s="2" t="str">
        <f>IFERROR(VLOOKUP(TRIM(CLEAN(Raw_Data!E14)),Lookup_Lists!$M:$N,2,FALSE()),TRIM(CLEAN(Raw_Data!E14)))</f>
        <v>Analyst</v>
      </c>
      <c r="F14" s="2" t="str">
        <f>IFERROR(VLOOKUP(TRIM(CLEAN(Raw_Data!F14)),Lookup_Lists!$A:$B,2,FALSE()),TRIM(CLEAN(Raw_Data!F14)))</f>
        <v>Critical</v>
      </c>
      <c r="G14" s="2" t="str">
        <f>IFERROR(VLOOKUP(TRIM(CLEAN(Raw_Data!G14)),Lookup_Lists!$J:$K,2,FALSE()),TRIM(CLEAN(Raw_Data!G14)))</f>
        <v>Development</v>
      </c>
      <c r="H14" s="10">
        <f>IF(Raw_Data!H14="","",Raw_Data!H14)</f>
        <v>45465</v>
      </c>
      <c r="I14" s="10">
        <f>IF(Raw_Data!I14="","",Raw_Data!I14)</f>
        <v>45474</v>
      </c>
      <c r="J14" s="10" t="str">
        <f>IF(Raw_Data!J14="","",Raw_Data!J14)</f>
        <v/>
      </c>
      <c r="K14" s="2" t="str">
        <f>IFERROR(VLOOKUP(TRIM(CLEAN(Raw_Data!K14)),Lookup_Lists!$D:$E,2,FALSE()),TRIM(CLEAN(Raw_Data!K14)))</f>
        <v>Cancelled</v>
      </c>
      <c r="L14" s="15">
        <f>IF(TRIM(CLEAN(Raw_Data!L14))="","",IFERROR(MIN(100,MAX(0,VALUE(SUBSTITUTE(TRIM(CLEAN(Raw_Data!L14)),"%",""))))/100,0))</f>
        <v>0</v>
      </c>
      <c r="M14" s="16">
        <f>IFERROR(IF(Raw_Data!M14="","",VALUE(Raw_Data!M14)),"")</f>
        <v>25.2</v>
      </c>
      <c r="N14" s="16">
        <f>IFERROR(IF(Raw_Data!N14="","",VALUE(Raw_Data!N14)),"")</f>
        <v>0</v>
      </c>
      <c r="O14" s="16">
        <f t="shared" si="0"/>
        <v>-25.2</v>
      </c>
      <c r="P14" s="2" t="str">
        <f>TRIM(CLEAN(Raw_Data!P14))</f>
        <v>Almost done</v>
      </c>
    </row>
    <row r="15" spans="1:16" x14ac:dyDescent="0.3">
      <c r="A15" s="5" t="str">
        <f>TRIM(CLEAN(Raw_Data!A15))</f>
        <v>TSK-0014</v>
      </c>
      <c r="B15" s="5" t="str">
        <f>TRIM(CLEAN(Raw_Data!B15))</f>
        <v>Annual Audit</v>
      </c>
      <c r="C15" s="5" t="str">
        <f>IFERROR(VLOOKUP(TRIM(CLEAN(Raw_Data!C15)),Lookup_Lists!$G:$H,2,FALSE()),TRIM(CLEAN(Raw_Data!C15)))</f>
        <v>Sales</v>
      </c>
      <c r="D15" s="5" t="str">
        <f>TRIM(CLEAN(Raw_Data!D15))</f>
        <v>Sneha Gupta</v>
      </c>
      <c r="E15" s="5" t="str">
        <f>IFERROR(VLOOKUP(TRIM(CLEAN(Raw_Data!E15)),Lookup_Lists!$M:$N,2,FALSE()),TRIM(CLEAN(Raw_Data!E15)))</f>
        <v>Lead</v>
      </c>
      <c r="F15" s="5" t="str">
        <f>IFERROR(VLOOKUP(TRIM(CLEAN(Raw_Data!F15)),Lookup_Lists!$A:$B,2,FALSE()),TRIM(CLEAN(Raw_Data!F15)))</f>
        <v>Critical</v>
      </c>
      <c r="G15" s="5" t="str">
        <f>IFERROR(VLOOKUP(TRIM(CLEAN(Raw_Data!G15)),Lookup_Lists!$J:$K,2,FALSE()),TRIM(CLEAN(Raw_Data!G15)))</f>
        <v>Documentation</v>
      </c>
      <c r="H15" s="13">
        <f>IF(Raw_Data!H15="","",Raw_Data!H15)</f>
        <v>45393</v>
      </c>
      <c r="I15" s="13">
        <f>IF(Raw_Data!I15="","",Raw_Data!I15)</f>
        <v>45404</v>
      </c>
      <c r="J15" s="13">
        <f>IF(Raw_Data!J15="","",Raw_Data!J15)</f>
        <v>45415</v>
      </c>
      <c r="K15" s="5" t="str">
        <f>IFERROR(VLOOKUP(TRIM(CLEAN(Raw_Data!K15)),Lookup_Lists!$D:$E,2,FALSE()),TRIM(CLEAN(Raw_Data!K15)))</f>
        <v>Completed</v>
      </c>
      <c r="L15" s="17">
        <f>IF(TRIM(CLEAN(Raw_Data!L15))="","",IFERROR(MIN(100,MAX(0,VALUE(SUBSTITUTE(TRIM(CLEAN(Raw_Data!L15)),"%",""))))/100,0))</f>
        <v>1</v>
      </c>
      <c r="M15" s="18">
        <f>IFERROR(IF(Raw_Data!M15="","",VALUE(Raw_Data!M15)),"")</f>
        <v>30.9</v>
      </c>
      <c r="N15" s="18">
        <f>IFERROR(IF(Raw_Data!N15="","",VALUE(Raw_Data!N15)),"")</f>
        <v>32.299999999999997</v>
      </c>
      <c r="O15" s="18">
        <f t="shared" si="0"/>
        <v>1.3999999999999986</v>
      </c>
      <c r="P15" s="5" t="str">
        <f>TRIM(CLEAN(Raw_Data!P15))</f>
        <v>escalated to management</v>
      </c>
    </row>
    <row r="16" spans="1:16" x14ac:dyDescent="0.3">
      <c r="A16" s="2" t="str">
        <f>TRIM(CLEAN(Raw_Data!A16))</f>
        <v>TSK-0015</v>
      </c>
      <c r="B16" s="2" t="str">
        <f>TRIM(CLEAN(Raw_Data!B16))</f>
        <v>Website Redesign</v>
      </c>
      <c r="C16" s="2" t="str">
        <f>IFERROR(VLOOKUP(TRIM(CLEAN(Raw_Data!C16)),Lookup_Lists!$G:$H,2,FALSE()),TRIM(CLEAN(Raw_Data!C16)))</f>
        <v>Operations</v>
      </c>
      <c r="D16" s="2" t="str">
        <f>TRIM(CLEAN(Raw_Data!D16))</f>
        <v>Pooja Reddy</v>
      </c>
      <c r="E16" s="2" t="str">
        <f>IFERROR(VLOOKUP(TRIM(CLEAN(Raw_Data!E16)),Lookup_Lists!$M:$N,2,FALSE()),TRIM(CLEAN(Raw_Data!E16)))</f>
        <v>Designer</v>
      </c>
      <c r="F16" s="2" t="str">
        <f>IFERROR(VLOOKUP(TRIM(CLEAN(Raw_Data!F16)),Lookup_Lists!$A:$B,2,FALSE()),TRIM(CLEAN(Raw_Data!F16)))</f>
        <v>Critical</v>
      </c>
      <c r="G16" s="2" t="str">
        <f>IFERROR(VLOOKUP(TRIM(CLEAN(Raw_Data!G16)),Lookup_Lists!$J:$K,2,FALSE()),TRIM(CLEAN(Raw_Data!G16)))</f>
        <v>Testing</v>
      </c>
      <c r="H16" s="10">
        <f>IF(Raw_Data!H16="","",Raw_Data!H16)</f>
        <v>45423</v>
      </c>
      <c r="I16" s="10">
        <f>IF(Raw_Data!I16="","",Raw_Data!I16)</f>
        <v>45440</v>
      </c>
      <c r="J16" s="10" t="str">
        <f>IF(Raw_Data!J16="","",Raw_Data!J16)</f>
        <v/>
      </c>
      <c r="K16" s="2" t="str">
        <f>IFERROR(VLOOKUP(TRIM(CLEAN(Raw_Data!K16)),Lookup_Lists!$D:$E,2,FALSE()),TRIM(CLEAN(Raw_Data!K16)))</f>
        <v>In Progress</v>
      </c>
      <c r="L16" s="15" t="str">
        <f>IF(TRIM(CLEAN(Raw_Data!L16))="","",IFERROR(MIN(100,MAX(0,VALUE(SUBSTITUTE(TRIM(CLEAN(Raw_Data!L16)),"%",""))))/100,0))</f>
        <v/>
      </c>
      <c r="M16" s="16">
        <f>IFERROR(IF(Raw_Data!M16="","",VALUE(Raw_Data!M16)),"")</f>
        <v>17.899999999999999</v>
      </c>
      <c r="N16" s="16">
        <f>IFERROR(IF(Raw_Data!N16="","",VALUE(Raw_Data!N16)),"")</f>
        <v>14.3</v>
      </c>
      <c r="O16" s="16">
        <f t="shared" si="0"/>
        <v>-3.5999999999999979</v>
      </c>
      <c r="P16" s="2" t="str">
        <f>TRIM(CLEAN(Raw_Data!P16))</f>
        <v>On track</v>
      </c>
    </row>
    <row r="17" spans="1:16" x14ac:dyDescent="0.3">
      <c r="A17" s="5" t="str">
        <f>TRIM(CLEAN(Raw_Data!A17))</f>
        <v>TSK-0016</v>
      </c>
      <c r="B17" s="5" t="str">
        <f>TRIM(CLEAN(Raw_Data!B17))</f>
        <v>Supply Chain Optimization</v>
      </c>
      <c r="C17" s="5" t="str">
        <f>IFERROR(VLOOKUP(TRIM(CLEAN(Raw_Data!C17)),Lookup_Lists!$G:$H,2,FALSE()),TRIM(CLEAN(Raw_Data!C17)))</f>
        <v>Finance</v>
      </c>
      <c r="D17" s="5" t="str">
        <f>TRIM(CLEAN(Raw_Data!D17))</f>
        <v>Rahul Sharma</v>
      </c>
      <c r="E17" s="5" t="str">
        <f>IFERROR(VLOOKUP(TRIM(CLEAN(Raw_Data!E17)),Lookup_Lists!$M:$N,2,FALSE()),TRIM(CLEAN(Raw_Data!E17)))</f>
        <v>Analyst</v>
      </c>
      <c r="F17" s="5" t="str">
        <f>IFERROR(VLOOKUP(TRIM(CLEAN(Raw_Data!F17)),Lookup_Lists!$A:$B,2,FALSE()),TRIM(CLEAN(Raw_Data!F17)))</f>
        <v>High</v>
      </c>
      <c r="G17" s="5" t="str">
        <f>IFERROR(VLOOKUP(TRIM(CLEAN(Raw_Data!G17)),Lookup_Lists!$J:$K,2,FALSE()),TRIM(CLEAN(Raw_Data!G17)))</f>
        <v>Research</v>
      </c>
      <c r="H17" s="13">
        <f>IF(Raw_Data!H17="","",Raw_Data!H17)</f>
        <v>45381</v>
      </c>
      <c r="I17" s="13">
        <f>IF(Raw_Data!I17="","",Raw_Data!I17)</f>
        <v>45412</v>
      </c>
      <c r="J17" s="13" t="str">
        <f>IF(Raw_Data!J17="","",Raw_Data!J17)</f>
        <v/>
      </c>
      <c r="K17" s="5" t="str">
        <f>IFERROR(VLOOKUP(TRIM(CLEAN(Raw_Data!K17)),Lookup_Lists!$D:$E,2,FALSE()),TRIM(CLEAN(Raw_Data!K17)))</f>
        <v>Cancelled</v>
      </c>
      <c r="L17" s="17" t="str">
        <f>IF(TRIM(CLEAN(Raw_Data!L17))="","",IFERROR(MIN(100,MAX(0,VALUE(SUBSTITUTE(TRIM(CLEAN(Raw_Data!L17)),"%",""))))/100,0))</f>
        <v/>
      </c>
      <c r="M17" s="18">
        <f>IFERROR(IF(Raw_Data!M17="","",VALUE(Raw_Data!M17)),"")</f>
        <v>20.2</v>
      </c>
      <c r="N17" s="18">
        <f>IFERROR(IF(Raw_Data!N17="","",VALUE(Raw_Data!N17)),"")</f>
        <v>0</v>
      </c>
      <c r="O17" s="18">
        <f t="shared" si="0"/>
        <v>-20.2</v>
      </c>
      <c r="P17" s="5" t="str">
        <f>TRIM(CLEAN(Raw_Data!P17))</f>
        <v>Need more resources</v>
      </c>
    </row>
    <row r="18" spans="1:16" x14ac:dyDescent="0.3">
      <c r="A18" s="2" t="str">
        <f>TRIM(CLEAN(Raw_Data!A18))</f>
        <v>TSK-0017</v>
      </c>
      <c r="B18" s="2" t="str">
        <f>TRIM(CLEAN(Raw_Data!B18))</f>
        <v>Marketing Campaign</v>
      </c>
      <c r="C18" s="2" t="str">
        <f>IFERROR(VLOOKUP(TRIM(CLEAN(Raw_Data!C18)),Lookup_Lists!$G:$H,2,FALSE()),TRIM(CLEAN(Raw_Data!C18)))</f>
        <v>IT</v>
      </c>
      <c r="D18" s="2" t="str">
        <f>TRIM(CLEAN(Raw_Data!D18))</f>
        <v>Arjun Mehta</v>
      </c>
      <c r="E18" s="2" t="str">
        <f>IFERROR(VLOOKUP(TRIM(CLEAN(Raw_Data!E18)),Lookup_Lists!$M:$N,2,FALSE()),TRIM(CLEAN(Raw_Data!E18)))</f>
        <v>Manager</v>
      </c>
      <c r="F18" s="2" t="str">
        <f>IFERROR(VLOOKUP(TRIM(CLEAN(Raw_Data!F18)),Lookup_Lists!$A:$B,2,FALSE()),TRIM(CLEAN(Raw_Data!F18)))</f>
        <v>Critical</v>
      </c>
      <c r="G18" s="2" t="str">
        <f>IFERROR(VLOOKUP(TRIM(CLEAN(Raw_Data!G18)),Lookup_Lists!$J:$K,2,FALSE()),TRIM(CLEAN(Raw_Data!G18)))</f>
        <v>Documentation</v>
      </c>
      <c r="H18" s="10">
        <f>IF(Raw_Data!H18="","",Raw_Data!H18)</f>
        <v>45442</v>
      </c>
      <c r="I18" s="10">
        <f>IF(Raw_Data!I18="","",Raw_Data!I18)</f>
        <v>45474</v>
      </c>
      <c r="J18" s="10" t="str">
        <f>IF(Raw_Data!J18="","",Raw_Data!J18)</f>
        <v/>
      </c>
      <c r="K18" s="2" t="str">
        <f>IFERROR(VLOOKUP(TRIM(CLEAN(Raw_Data!K18)),Lookup_Lists!$D:$E,2,FALSE()),TRIM(CLEAN(Raw_Data!K18)))</f>
        <v>Cancelled</v>
      </c>
      <c r="L18" s="15">
        <f>IF(TRIM(CLEAN(Raw_Data!L18))="","",IFERROR(MIN(100,MAX(0,VALUE(SUBSTITUTE(TRIM(CLEAN(Raw_Data!L18)),"%",""))))/100,0))</f>
        <v>0</v>
      </c>
      <c r="M18" s="16">
        <f>IFERROR(IF(Raw_Data!M18="","",VALUE(Raw_Data!M18)),"")</f>
        <v>18.399999999999999</v>
      </c>
      <c r="N18" s="16" t="str">
        <f>IFERROR(IF(Raw_Data!N18="","",VALUE(Raw_Data!N18)),"")</f>
        <v/>
      </c>
      <c r="O18" s="16" t="str">
        <f t="shared" si="0"/>
        <v/>
      </c>
      <c r="P18" s="2" t="str">
        <f>TRIM(CLEAN(Raw_Data!P18))</f>
        <v>Need more resources</v>
      </c>
    </row>
    <row r="19" spans="1:16" x14ac:dyDescent="0.3">
      <c r="A19" s="5" t="str">
        <f>TRIM(CLEAN(Raw_Data!A19))</f>
        <v>TSK-0018</v>
      </c>
      <c r="B19" s="5" t="str">
        <f>TRIM(CLEAN(Raw_Data!B19))</f>
        <v>Supply Chain Optimization</v>
      </c>
      <c r="C19" s="5" t="str">
        <f>IFERROR(VLOOKUP(TRIM(CLEAN(Raw_Data!C19)),Lookup_Lists!$G:$H,2,FALSE()),TRIM(CLEAN(Raw_Data!C19)))</f>
        <v>IT</v>
      </c>
      <c r="D19" s="5" t="str">
        <f>TRIM(CLEAN(Raw_Data!D19))</f>
        <v>Pooja Reddy</v>
      </c>
      <c r="E19" s="5" t="str">
        <f>IFERROR(VLOOKUP(TRIM(CLEAN(Raw_Data!E19)),Lookup_Lists!$M:$N,2,FALSE()),TRIM(CLEAN(Raw_Data!E19)))</f>
        <v>Designer</v>
      </c>
      <c r="F19" s="5" t="str">
        <f>IFERROR(VLOOKUP(TRIM(CLEAN(Raw_Data!F19)),Lookup_Lists!$A:$B,2,FALSE()),TRIM(CLEAN(Raw_Data!F19)))</f>
        <v>High</v>
      </c>
      <c r="G19" s="5" t="str">
        <f>IFERROR(VLOOKUP(TRIM(CLEAN(Raw_Data!G19)),Lookup_Lists!$J:$K,2,FALSE()),TRIM(CLEAN(Raw_Data!G19)))</f>
        <v>Development</v>
      </c>
      <c r="H19" s="13">
        <f>IF(Raw_Data!H19="","",Raw_Data!H19)</f>
        <v>45595</v>
      </c>
      <c r="I19" s="13">
        <f>IF(Raw_Data!I19="","",Raw_Data!I19)</f>
        <v>45630</v>
      </c>
      <c r="J19" s="13" t="str">
        <f>IF(Raw_Data!J19="","",Raw_Data!J19)</f>
        <v/>
      </c>
      <c r="K19" s="5" t="str">
        <f>IFERROR(VLOOKUP(TRIM(CLEAN(Raw_Data!K19)),Lookup_Lists!$D:$E,2,FALSE()),TRIM(CLEAN(Raw_Data!K19)))</f>
        <v>Cancelled</v>
      </c>
      <c r="L19" s="17" t="str">
        <f>IF(TRIM(CLEAN(Raw_Data!L19))="","",IFERROR(MIN(100,MAX(0,VALUE(SUBSTITUTE(TRIM(CLEAN(Raw_Data!L19)),"%",""))))/100,0))</f>
        <v/>
      </c>
      <c r="M19" s="18">
        <f>IFERROR(IF(Raw_Data!M19="","",VALUE(Raw_Data!M19)),"")</f>
        <v>16</v>
      </c>
      <c r="N19" s="18" t="str">
        <f>IFERROR(IF(Raw_Data!N19="","",VALUE(Raw_Data!N19)),"")</f>
        <v/>
      </c>
      <c r="O19" s="18" t="str">
        <f t="shared" si="0"/>
        <v/>
      </c>
      <c r="P19" s="5" t="str">
        <f>TRIM(CLEAN(Raw_Data!P19))</f>
        <v>On track</v>
      </c>
    </row>
    <row r="20" spans="1:16" x14ac:dyDescent="0.3">
      <c r="A20" s="2" t="str">
        <f>TRIM(CLEAN(Raw_Data!A20))</f>
        <v>TSK-0019</v>
      </c>
      <c r="B20" s="2" t="str">
        <f>TRIM(CLEAN(Raw_Data!B20))</f>
        <v>CRM Migration</v>
      </c>
      <c r="C20" s="2" t="str">
        <f>IFERROR(VLOOKUP(TRIM(CLEAN(Raw_Data!C20)),Lookup_Lists!$G:$H,2,FALSE()),TRIM(CLEAN(Raw_Data!C20)))</f>
        <v>IT</v>
      </c>
      <c r="D20" s="2" t="str">
        <f>TRIM(CLEAN(Raw_Data!D20))</f>
        <v>Rohan Iyer</v>
      </c>
      <c r="E20" s="2" t="str">
        <f>IFERROR(VLOOKUP(TRIM(CLEAN(Raw_Data!E20)),Lookup_Lists!$M:$N,2,FALSE()),TRIM(CLEAN(Raw_Data!E20)))</f>
        <v>Manager</v>
      </c>
      <c r="F20" s="2" t="str">
        <f>IFERROR(VLOOKUP(TRIM(CLEAN(Raw_Data!F20)),Lookup_Lists!$A:$B,2,FALSE()),TRIM(CLEAN(Raw_Data!F20)))</f>
        <v>Medium</v>
      </c>
      <c r="G20" s="2" t="str">
        <f>IFERROR(VLOOKUP(TRIM(CLEAN(Raw_Data!G20)),Lookup_Lists!$J:$K,2,FALSE()),TRIM(CLEAN(Raw_Data!G20)))</f>
        <v>Testing</v>
      </c>
      <c r="H20" s="10">
        <f>IF(Raw_Data!H20="","",Raw_Data!H20)</f>
        <v>45587</v>
      </c>
      <c r="I20" s="10">
        <f>IF(Raw_Data!I20="","",Raw_Data!I20)</f>
        <v>45607</v>
      </c>
      <c r="J20" s="10">
        <f>IF(Raw_Data!J20="","",Raw_Data!J20)</f>
        <v>45616</v>
      </c>
      <c r="K20" s="2" t="str">
        <f>IFERROR(VLOOKUP(TRIM(CLEAN(Raw_Data!K20)),Lookup_Lists!$D:$E,2,FALSE()),TRIM(CLEAN(Raw_Data!K20)))</f>
        <v>Completed</v>
      </c>
      <c r="L20" s="15">
        <f>IF(TRIM(CLEAN(Raw_Data!L20))="","",IFERROR(MIN(100,MAX(0,VALUE(SUBSTITUTE(TRIM(CLEAN(Raw_Data!L20)),"%",""))))/100,0))</f>
        <v>1</v>
      </c>
      <c r="M20" s="16">
        <f>IFERROR(IF(Raw_Data!M20="","",VALUE(Raw_Data!M20)),"")</f>
        <v>35.9</v>
      </c>
      <c r="N20" s="16">
        <f>IFERROR(IF(Raw_Data!N20="","",VALUE(Raw_Data!N20)),"")</f>
        <v>44.2</v>
      </c>
      <c r="O20" s="16">
        <f t="shared" si="0"/>
        <v>8.3000000000000043</v>
      </c>
      <c r="P20" s="2" t="str">
        <f>TRIM(CLEAN(Raw_Data!P20))</f>
        <v>Rescheduled</v>
      </c>
    </row>
    <row r="21" spans="1:16" x14ac:dyDescent="0.3">
      <c r="A21" s="5" t="str">
        <f>TRIM(CLEAN(Raw_Data!A21))</f>
        <v>TSK-0020</v>
      </c>
      <c r="B21" s="5" t="str">
        <f>TRIM(CLEAN(Raw_Data!B21))</f>
        <v>Product Launch</v>
      </c>
      <c r="C21" s="5" t="str">
        <f>IFERROR(VLOOKUP(TRIM(CLEAN(Raw_Data!C21)),Lookup_Lists!$G:$H,2,FALSE()),TRIM(CLEAN(Raw_Data!C21)))</f>
        <v>HR</v>
      </c>
      <c r="D21" s="5" t="str">
        <f>TRIM(CLEAN(Raw_Data!D21))</f>
        <v>Sneha Gupta</v>
      </c>
      <c r="E21" s="5" t="str">
        <f>IFERROR(VLOOKUP(TRIM(CLEAN(Raw_Data!E21)),Lookup_Lists!$M:$N,2,FALSE()),TRIM(CLEAN(Raw_Data!E21)))</f>
        <v>Manager</v>
      </c>
      <c r="F21" s="5" t="str">
        <f>IFERROR(VLOOKUP(TRIM(CLEAN(Raw_Data!F21)),Lookup_Lists!$A:$B,2,FALSE()),TRIM(CLEAN(Raw_Data!F21)))</f>
        <v>Medium</v>
      </c>
      <c r="G21" s="5" t="str">
        <f>IFERROR(VLOOKUP(TRIM(CLEAN(Raw_Data!G21)),Lookup_Lists!$J:$K,2,FALSE()),TRIM(CLEAN(Raw_Data!G21)))</f>
        <v>Testing</v>
      </c>
      <c r="H21" s="13">
        <f>IF(Raw_Data!H21="","",Raw_Data!H21)</f>
        <v>45639</v>
      </c>
      <c r="I21" s="13">
        <f>IF(Raw_Data!I21="","",Raw_Data!I21)</f>
        <v>45685</v>
      </c>
      <c r="J21" s="13" t="str">
        <f>IF(Raw_Data!J21="","",Raw_Data!J21)</f>
        <v/>
      </c>
      <c r="K21" s="5" t="str">
        <f>IFERROR(VLOOKUP(TRIM(CLEAN(Raw_Data!K21)),Lookup_Lists!$D:$E,2,FALSE()),TRIM(CLEAN(Raw_Data!K21)))</f>
        <v>Not Started</v>
      </c>
      <c r="L21" s="17" t="str">
        <f>IF(TRIM(CLEAN(Raw_Data!L21))="","",IFERROR(MIN(100,MAX(0,VALUE(SUBSTITUTE(TRIM(CLEAN(Raw_Data!L21)),"%",""))))/100,0))</f>
        <v/>
      </c>
      <c r="M21" s="18">
        <f>IFERROR(IF(Raw_Data!M21="","",VALUE(Raw_Data!M21)),"")</f>
        <v>28</v>
      </c>
      <c r="N21" s="18" t="str">
        <f>IFERROR(IF(Raw_Data!N21="","",VALUE(Raw_Data!N21)),"")</f>
        <v/>
      </c>
      <c r="O21" s="18" t="str">
        <f t="shared" si="0"/>
        <v/>
      </c>
      <c r="P21" s="5" t="str">
        <f>TRIM(CLEAN(Raw_Data!P21))</f>
        <v>Waiting for client feedback</v>
      </c>
    </row>
    <row r="22" spans="1:16" x14ac:dyDescent="0.3">
      <c r="A22" s="2" t="str">
        <f>TRIM(CLEAN(Raw_Data!A22))</f>
        <v>TSK-0021</v>
      </c>
      <c r="B22" s="2" t="str">
        <f>TRIM(CLEAN(Raw_Data!B22))</f>
        <v>Mobile App v2</v>
      </c>
      <c r="C22" s="2" t="str">
        <f>IFERROR(VLOOKUP(TRIM(CLEAN(Raw_Data!C22)),Lookup_Lists!$G:$H,2,FALSE()),TRIM(CLEAN(Raw_Data!C22)))</f>
        <v>Finance</v>
      </c>
      <c r="D22" s="2" t="str">
        <f>TRIM(CLEAN(Raw_Data!D22))</f>
        <v>Priya Patel</v>
      </c>
      <c r="E22" s="2" t="str">
        <f>IFERROR(VLOOKUP(TRIM(CLEAN(Raw_Data!E22)),Lookup_Lists!$M:$N,2,FALSE()),TRIM(CLEAN(Raw_Data!E22)))</f>
        <v>Manager</v>
      </c>
      <c r="F22" s="2" t="str">
        <f>IFERROR(VLOOKUP(TRIM(CLEAN(Raw_Data!F22)),Lookup_Lists!$A:$B,2,FALSE()),TRIM(CLEAN(Raw_Data!F22)))</f>
        <v>Low</v>
      </c>
      <c r="G22" s="2" t="str">
        <f>IFERROR(VLOOKUP(TRIM(CLEAN(Raw_Data!G22)),Lookup_Lists!$J:$K,2,FALSE()),TRIM(CLEAN(Raw_Data!G22)))</f>
        <v>Research</v>
      </c>
      <c r="H22" s="10">
        <f>IF(Raw_Data!H22="","",Raw_Data!H22)</f>
        <v>45363</v>
      </c>
      <c r="I22" s="10">
        <f>IF(Raw_Data!I22="","",Raw_Data!I22)</f>
        <v>45390</v>
      </c>
      <c r="J22" s="10">
        <f>IF(Raw_Data!J22="","",Raw_Data!J22)</f>
        <v>45387</v>
      </c>
      <c r="K22" s="2" t="str">
        <f>IFERROR(VLOOKUP(TRIM(CLEAN(Raw_Data!K22)),Lookup_Lists!$D:$E,2,FALSE()),TRIM(CLEAN(Raw_Data!K22)))</f>
        <v>Completed</v>
      </c>
      <c r="L22" s="15">
        <f>IF(TRIM(CLEAN(Raw_Data!L22))="","",IFERROR(MIN(100,MAX(0,VALUE(SUBSTITUTE(TRIM(CLEAN(Raw_Data!L22)),"%",""))))/100,0))</f>
        <v>1</v>
      </c>
      <c r="M22" s="16">
        <f>IFERROR(IF(Raw_Data!M22="","",VALUE(Raw_Data!M22)),"")</f>
        <v>25.7</v>
      </c>
      <c r="N22" s="16">
        <f>IFERROR(IF(Raw_Data!N22="","",VALUE(Raw_Data!N22)),"")</f>
        <v>28.2</v>
      </c>
      <c r="O22" s="16">
        <f t="shared" si="0"/>
        <v>2.5</v>
      </c>
      <c r="P22" s="2" t="str">
        <f>TRIM(CLEAN(Raw_Data!P22))</f>
        <v>Priority shifted</v>
      </c>
    </row>
    <row r="23" spans="1:16" x14ac:dyDescent="0.3">
      <c r="A23" s="5" t="str">
        <f>TRIM(CLEAN(Raw_Data!A23))</f>
        <v>TSK-0022</v>
      </c>
      <c r="B23" s="5" t="str">
        <f>TRIM(CLEAN(Raw_Data!B23))</f>
        <v>Supply Chain Optimization</v>
      </c>
      <c r="C23" s="5" t="str">
        <f>IFERROR(VLOOKUP(TRIM(CLEAN(Raw_Data!C23)),Lookup_Lists!$G:$H,2,FALSE()),TRIM(CLEAN(Raw_Data!C23)))</f>
        <v>IT</v>
      </c>
      <c r="D23" s="5" t="str">
        <f>TRIM(CLEAN(Raw_Data!D23))</f>
        <v>Rohan Iyer</v>
      </c>
      <c r="E23" s="5" t="str">
        <f>IFERROR(VLOOKUP(TRIM(CLEAN(Raw_Data!E23)),Lookup_Lists!$M:$N,2,FALSE()),TRIM(CLEAN(Raw_Data!E23)))</f>
        <v>Designer</v>
      </c>
      <c r="F23" s="5" t="str">
        <f>IFERROR(VLOOKUP(TRIM(CLEAN(Raw_Data!F23)),Lookup_Lists!$A:$B,2,FALSE()),TRIM(CLEAN(Raw_Data!F23)))</f>
        <v>Critical</v>
      </c>
      <c r="G23" s="5" t="str">
        <f>IFERROR(VLOOKUP(TRIM(CLEAN(Raw_Data!G23)),Lookup_Lists!$J:$K,2,FALSE()),TRIM(CLEAN(Raw_Data!G23)))</f>
        <v>Testing</v>
      </c>
      <c r="H23" s="13">
        <f>IF(Raw_Data!H23="","",Raw_Data!H23)</f>
        <v>45364</v>
      </c>
      <c r="I23" s="13">
        <f>IF(Raw_Data!I23="","",Raw_Data!I23)</f>
        <v>45385</v>
      </c>
      <c r="J23" s="13">
        <f>IF(Raw_Data!J23="","",Raw_Data!J23)</f>
        <v>45378</v>
      </c>
      <c r="K23" s="5" t="str">
        <f>IFERROR(VLOOKUP(TRIM(CLEAN(Raw_Data!K23)),Lookup_Lists!$D:$E,2,FALSE()),TRIM(CLEAN(Raw_Data!K23)))</f>
        <v>Completed</v>
      </c>
      <c r="L23" s="17">
        <f>IF(TRIM(CLEAN(Raw_Data!L23))="","",IFERROR(MIN(100,MAX(0,VALUE(SUBSTITUTE(TRIM(CLEAN(Raw_Data!L23)),"%",""))))/100,0))</f>
        <v>1</v>
      </c>
      <c r="M23" s="18">
        <f>IFERROR(IF(Raw_Data!M23="","",VALUE(Raw_Data!M23)),"")</f>
        <v>15.8</v>
      </c>
      <c r="N23" s="18">
        <f>IFERROR(IF(Raw_Data!N23="","",VALUE(Raw_Data!N23)),"")</f>
        <v>12.1</v>
      </c>
      <c r="O23" s="18">
        <f t="shared" si="0"/>
        <v>-3.7000000000000011</v>
      </c>
      <c r="P23" s="5" t="str">
        <f>TRIM(CLEAN(Raw_Data!P23))</f>
        <v>Almost done</v>
      </c>
    </row>
    <row r="24" spans="1:16" x14ac:dyDescent="0.3">
      <c r="A24" s="2" t="str">
        <f>TRIM(CLEAN(Raw_Data!A24))</f>
        <v>TSK-0023</v>
      </c>
      <c r="B24" s="2" t="str">
        <f>TRIM(CLEAN(Raw_Data!B24))</f>
        <v>Employee Onboarding</v>
      </c>
      <c r="C24" s="2" t="str">
        <f>IFERROR(VLOOKUP(TRIM(CLEAN(Raw_Data!C24)),Lookup_Lists!$G:$H,2,FALSE()),TRIM(CLEAN(Raw_Data!C24)))</f>
        <v>Sales</v>
      </c>
      <c r="D24" s="2" t="str">
        <f>TRIM(CLEAN(Raw_Data!D24))</f>
        <v>Kavita Rao</v>
      </c>
      <c r="E24" s="2" t="str">
        <f>IFERROR(VLOOKUP(TRIM(CLEAN(Raw_Data!E24)),Lookup_Lists!$M:$N,2,FALSE()),TRIM(CLEAN(Raw_Data!E24)))</f>
        <v>Manager</v>
      </c>
      <c r="F24" s="2" t="str">
        <f>IFERROR(VLOOKUP(TRIM(CLEAN(Raw_Data!F24)),Lookup_Lists!$A:$B,2,FALSE()),TRIM(CLEAN(Raw_Data!F24)))</f>
        <v>Critical</v>
      </c>
      <c r="G24" s="2" t="str">
        <f>IFERROR(VLOOKUP(TRIM(CLEAN(Raw_Data!G24)),Lookup_Lists!$J:$K,2,FALSE()),TRIM(CLEAN(Raw_Data!G24)))</f>
        <v>Development</v>
      </c>
      <c r="H24" s="10">
        <f>IF(Raw_Data!H24="","",Raw_Data!H24)</f>
        <v>45343</v>
      </c>
      <c r="I24" s="10">
        <f>IF(Raw_Data!I24="","",Raw_Data!I24)</f>
        <v>45388</v>
      </c>
      <c r="J24" s="10" t="str">
        <f>IF(Raw_Data!J24="","",Raw_Data!J24)</f>
        <v/>
      </c>
      <c r="K24" s="2" t="str">
        <f>IFERROR(VLOOKUP(TRIM(CLEAN(Raw_Data!K24)),Lookup_Lists!$D:$E,2,FALSE()),TRIM(CLEAN(Raw_Data!K24)))</f>
        <v>On Hold</v>
      </c>
      <c r="L24" s="15">
        <f>IF(TRIM(CLEAN(Raw_Data!L24))="","",IFERROR(MIN(100,MAX(0,VALUE(SUBSTITUTE(TRIM(CLEAN(Raw_Data!L24)),"%",""))))/100,0))</f>
        <v>0.22</v>
      </c>
      <c r="M24" s="16">
        <f>IFERROR(IF(Raw_Data!M24="","",VALUE(Raw_Data!M24)),"")</f>
        <v>4.3</v>
      </c>
      <c r="N24" s="16" t="str">
        <f>IFERROR(IF(Raw_Data!N24="","",VALUE(Raw_Data!N24)),"")</f>
        <v/>
      </c>
      <c r="O24" s="16" t="str">
        <f t="shared" si="0"/>
        <v/>
      </c>
      <c r="P24" s="2" t="str">
        <f>TRIM(CLEAN(Raw_Data!P24))</f>
        <v>Waiting on approval</v>
      </c>
    </row>
    <row r="25" spans="1:16" x14ac:dyDescent="0.3">
      <c r="A25" s="5" t="str">
        <f>TRIM(CLEAN(Raw_Data!A25))</f>
        <v>TSK-0024</v>
      </c>
      <c r="B25" s="5" t="str">
        <f>TRIM(CLEAN(Raw_Data!B25))</f>
        <v>Annual Audit</v>
      </c>
      <c r="C25" s="5" t="str">
        <f>IFERROR(VLOOKUP(TRIM(CLEAN(Raw_Data!C25)),Lookup_Lists!$G:$H,2,FALSE()),TRIM(CLEAN(Raw_Data!C25)))</f>
        <v>Sales</v>
      </c>
      <c r="D25" s="5" t="str">
        <f>TRIM(CLEAN(Raw_Data!D25))</f>
        <v>Deepak Nair</v>
      </c>
      <c r="E25" s="5" t="str">
        <f>IFERROR(VLOOKUP(TRIM(CLEAN(Raw_Data!E25)),Lookup_Lists!$M:$N,2,FALSE()),TRIM(CLEAN(Raw_Data!E25)))</f>
        <v>Coordinator</v>
      </c>
      <c r="F25" s="5" t="str">
        <f>IFERROR(VLOOKUP(TRIM(CLEAN(Raw_Data!F25)),Lookup_Lists!$A:$B,2,FALSE()),TRIM(CLEAN(Raw_Data!F25)))</f>
        <v>Low</v>
      </c>
      <c r="G25" s="5" t="str">
        <f>IFERROR(VLOOKUP(TRIM(CLEAN(Raw_Data!G25)),Lookup_Lists!$J:$K,2,FALSE()),TRIM(CLEAN(Raw_Data!G25)))</f>
        <v>Development</v>
      </c>
      <c r="H25" s="13">
        <f>IF(Raw_Data!H25="","",Raw_Data!H25)</f>
        <v>45353</v>
      </c>
      <c r="I25" s="13">
        <f>IF(Raw_Data!I25="","",Raw_Data!I25)</f>
        <v>45362</v>
      </c>
      <c r="J25" s="13" t="str">
        <f>IF(Raw_Data!J25="","",Raw_Data!J25)</f>
        <v/>
      </c>
      <c r="K25" s="5" t="str">
        <f>IFERROR(VLOOKUP(TRIM(CLEAN(Raw_Data!K25)),Lookup_Lists!$D:$E,2,FALSE()),TRIM(CLEAN(Raw_Data!K25)))</f>
        <v>In Progress</v>
      </c>
      <c r="L25" s="17">
        <f>IF(TRIM(CLEAN(Raw_Data!L25))="","",IFERROR(MIN(100,MAX(0,VALUE(SUBSTITUTE(TRIM(CLEAN(Raw_Data!L25)),"%",""))))/100,0))</f>
        <v>0.22</v>
      </c>
      <c r="M25" s="18">
        <f>IFERROR(IF(Raw_Data!M25="","",VALUE(Raw_Data!M25)),"")</f>
        <v>36.700000000000003</v>
      </c>
      <c r="N25" s="18" t="str">
        <f>IFERROR(IF(Raw_Data!N25="","",VALUE(Raw_Data!N25)),"")</f>
        <v/>
      </c>
      <c r="O25" s="18" t="str">
        <f t="shared" si="0"/>
        <v/>
      </c>
      <c r="P25" s="5" t="str">
        <f>TRIM(CLEAN(Raw_Data!P25))</f>
        <v>Stakeholder review next week</v>
      </c>
    </row>
    <row r="26" spans="1:16" x14ac:dyDescent="0.3">
      <c r="A26" s="2" t="str">
        <f>TRIM(CLEAN(Raw_Data!A26))</f>
        <v>TSK-0025</v>
      </c>
      <c r="B26" s="2" t="str">
        <f>TRIM(CLEAN(Raw_Data!B26))</f>
        <v>IT Infrastructure</v>
      </c>
      <c r="C26" s="2" t="str">
        <f>IFERROR(VLOOKUP(TRIM(CLEAN(Raw_Data!C26)),Lookup_Lists!$G:$H,2,FALSE()),TRIM(CLEAN(Raw_Data!C26)))</f>
        <v>Marketing</v>
      </c>
      <c r="D26" s="2" t="str">
        <f>TRIM(CLEAN(Raw_Data!D26))</f>
        <v>Rohan Iyer</v>
      </c>
      <c r="E26" s="2" t="str">
        <f>IFERROR(VLOOKUP(TRIM(CLEAN(Raw_Data!E26)),Lookup_Lists!$M:$N,2,FALSE()),TRIM(CLEAN(Raw_Data!E26)))</f>
        <v>Manager</v>
      </c>
      <c r="F26" s="2" t="str">
        <f>IFERROR(VLOOKUP(TRIM(CLEAN(Raw_Data!F26)),Lookup_Lists!$A:$B,2,FALSE()),TRIM(CLEAN(Raw_Data!F26)))</f>
        <v>Low</v>
      </c>
      <c r="G26" s="2" t="str">
        <f>IFERROR(VLOOKUP(TRIM(CLEAN(Raw_Data!G26)),Lookup_Lists!$J:$K,2,FALSE()),TRIM(CLEAN(Raw_Data!G26)))</f>
        <v>Testing</v>
      </c>
      <c r="H26" s="10">
        <f>IF(Raw_Data!H26="","",Raw_Data!H26)</f>
        <v>45477</v>
      </c>
      <c r="I26" s="10">
        <f>IF(Raw_Data!I26="","",Raw_Data!I26)</f>
        <v>45531</v>
      </c>
      <c r="J26" s="10" t="str">
        <f>IF(Raw_Data!J26="","",Raw_Data!J26)</f>
        <v/>
      </c>
      <c r="K26" s="2" t="str">
        <f>IFERROR(VLOOKUP(TRIM(CLEAN(Raw_Data!K26)),Lookup_Lists!$D:$E,2,FALSE()),TRIM(CLEAN(Raw_Data!K26)))</f>
        <v>On Hold</v>
      </c>
      <c r="L26" s="15">
        <f>IF(TRIM(CLEAN(Raw_Data!L26))="","",IFERROR(MIN(100,MAX(0,VALUE(SUBSTITUTE(TRIM(CLEAN(Raw_Data!L26)),"%",""))))/100,0))</f>
        <v>0.14000000000000001</v>
      </c>
      <c r="M26" s="16">
        <f>IFERROR(IF(Raw_Data!M26="","",VALUE(Raw_Data!M26)),"")</f>
        <v>69.7</v>
      </c>
      <c r="N26" s="16" t="str">
        <f>IFERROR(IF(Raw_Data!N26="","",VALUE(Raw_Data!N26)),"")</f>
        <v/>
      </c>
      <c r="O26" s="16" t="str">
        <f t="shared" si="0"/>
        <v/>
      </c>
      <c r="P26" s="2" t="str">
        <f>TRIM(CLEAN(Raw_Data!P26))</f>
        <v/>
      </c>
    </row>
    <row r="27" spans="1:16" x14ac:dyDescent="0.3">
      <c r="A27" s="5" t="str">
        <f>TRIM(CLEAN(Raw_Data!A27))</f>
        <v>TSK-0026</v>
      </c>
      <c r="B27" s="5" t="str">
        <f>TRIM(CLEAN(Raw_Data!B27))</f>
        <v>Annual Audit</v>
      </c>
      <c r="C27" s="5" t="str">
        <f>IFERROR(VLOOKUP(TRIM(CLEAN(Raw_Data!C27)),Lookup_Lists!$G:$H,2,FALSE()),TRIM(CLEAN(Raw_Data!C27)))</f>
        <v>HR</v>
      </c>
      <c r="D27" s="5" t="str">
        <f>TRIM(CLEAN(Raw_Data!D27))</f>
        <v>Sanjay Kulkarni</v>
      </c>
      <c r="E27" s="5" t="str">
        <f>IFERROR(VLOOKUP(TRIM(CLEAN(Raw_Data!E27)),Lookup_Lists!$M:$N,2,FALSE()),TRIM(CLEAN(Raw_Data!E27)))</f>
        <v>Coordinator</v>
      </c>
      <c r="F27" s="5" t="str">
        <f>IFERROR(VLOOKUP(TRIM(CLEAN(Raw_Data!F27)),Lookup_Lists!$A:$B,2,FALSE()),TRIM(CLEAN(Raw_Data!F27)))</f>
        <v>Critical</v>
      </c>
      <c r="G27" s="5" t="str">
        <f>IFERROR(VLOOKUP(TRIM(CLEAN(Raw_Data!G27)),Lookup_Lists!$J:$K,2,FALSE()),TRIM(CLEAN(Raw_Data!G27)))</f>
        <v>Research</v>
      </c>
      <c r="H27" s="13">
        <f>IF(Raw_Data!H27="","",Raw_Data!H27)</f>
        <v>45432</v>
      </c>
      <c r="I27" s="13">
        <f>IF(Raw_Data!I27="","",Raw_Data!I27)</f>
        <v>45447</v>
      </c>
      <c r="J27" s="13">
        <f>IF(Raw_Data!J27="","",Raw_Data!J27)</f>
        <v>45449</v>
      </c>
      <c r="K27" s="5" t="str">
        <f>IFERROR(VLOOKUP(TRIM(CLEAN(Raw_Data!K27)),Lookup_Lists!$D:$E,2,FALSE()),TRIM(CLEAN(Raw_Data!K27)))</f>
        <v>Completed</v>
      </c>
      <c r="L27" s="17">
        <f>IF(TRIM(CLEAN(Raw_Data!L27))="","",IFERROR(MIN(100,MAX(0,VALUE(SUBSTITUTE(TRIM(CLEAN(Raw_Data!L27)),"%",""))))/100,0))</f>
        <v>1</v>
      </c>
      <c r="M27" s="18">
        <f>IFERROR(IF(Raw_Data!M27="","",VALUE(Raw_Data!M27)),"")</f>
        <v>69.3</v>
      </c>
      <c r="N27" s="18">
        <f>IFERROR(IF(Raw_Data!N27="","",VALUE(Raw_Data!N27)),"")</f>
        <v>63.2</v>
      </c>
      <c r="O27" s="18">
        <f t="shared" si="0"/>
        <v>-6.0999999999999943</v>
      </c>
      <c r="P27" s="5" t="str">
        <f>TRIM(CLEAN(Raw_Data!P27))</f>
        <v/>
      </c>
    </row>
    <row r="28" spans="1:16" x14ac:dyDescent="0.3">
      <c r="A28" s="2" t="str">
        <f>TRIM(CLEAN(Raw_Data!A28))</f>
        <v>TSK-0027</v>
      </c>
      <c r="B28" s="2" t="str">
        <f>TRIM(CLEAN(Raw_Data!B28))</f>
        <v>Product Launch</v>
      </c>
      <c r="C28" s="2" t="str">
        <f>IFERROR(VLOOKUP(TRIM(CLEAN(Raw_Data!C28)),Lookup_Lists!$G:$H,2,FALSE()),TRIM(CLEAN(Raw_Data!C28)))</f>
        <v>Marketing</v>
      </c>
      <c r="D28" s="2" t="str">
        <f>TRIM(CLEAN(Raw_Data!D28))</f>
        <v>Rahul Sharma</v>
      </c>
      <c r="E28" s="2" t="str">
        <f>IFERROR(VLOOKUP(TRIM(CLEAN(Raw_Data!E28)),Lookup_Lists!$M:$N,2,FALSE()),TRIM(CLEAN(Raw_Data!E28)))</f>
        <v>Manager</v>
      </c>
      <c r="F28" s="2" t="str">
        <f>IFERROR(VLOOKUP(TRIM(CLEAN(Raw_Data!F28)),Lookup_Lists!$A:$B,2,FALSE()),TRIM(CLEAN(Raw_Data!F28)))</f>
        <v>Medium</v>
      </c>
      <c r="G28" s="2" t="str">
        <f>IFERROR(VLOOKUP(TRIM(CLEAN(Raw_Data!G28)),Lookup_Lists!$J:$K,2,FALSE()),TRIM(CLEAN(Raw_Data!G28)))</f>
        <v>Planning</v>
      </c>
      <c r="H28" s="10">
        <f>IF(Raw_Data!H28="","",Raw_Data!H28)</f>
        <v>45438</v>
      </c>
      <c r="I28" s="10">
        <f>IF(Raw_Data!I28="","",Raw_Data!I28)</f>
        <v>45498</v>
      </c>
      <c r="J28" s="10">
        <f>IF(Raw_Data!J28="","",Raw_Data!J28)</f>
        <v>45512</v>
      </c>
      <c r="K28" s="2" t="str">
        <f>IFERROR(VLOOKUP(TRIM(CLEAN(Raw_Data!K28)),Lookup_Lists!$D:$E,2,FALSE()),TRIM(CLEAN(Raw_Data!K28)))</f>
        <v>Completed</v>
      </c>
      <c r="L28" s="15">
        <f>IF(TRIM(CLEAN(Raw_Data!L28))="","",IFERROR(MIN(100,MAX(0,VALUE(SUBSTITUTE(TRIM(CLEAN(Raw_Data!L28)),"%",""))))/100,0))</f>
        <v>1</v>
      </c>
      <c r="M28" s="16">
        <f>IFERROR(IF(Raw_Data!M28="","",VALUE(Raw_Data!M28)),"")</f>
        <v>30.7</v>
      </c>
      <c r="N28" s="16">
        <f>IFERROR(IF(Raw_Data!N28="","",VALUE(Raw_Data!N28)),"")</f>
        <v>36.1</v>
      </c>
      <c r="O28" s="16">
        <f t="shared" si="0"/>
        <v>5.4000000000000021</v>
      </c>
      <c r="P28" s="2" t="str">
        <f>TRIM(CLEAN(Raw_Data!P28))</f>
        <v>final review stage</v>
      </c>
    </row>
    <row r="29" spans="1:16" x14ac:dyDescent="0.3">
      <c r="A29" s="5" t="str">
        <f>TRIM(CLEAN(Raw_Data!A29))</f>
        <v>TSK-0028</v>
      </c>
      <c r="B29" s="5" t="str">
        <f>TRIM(CLEAN(Raw_Data!B29))</f>
        <v>Website Redesign</v>
      </c>
      <c r="C29" s="5" t="str">
        <f>IFERROR(VLOOKUP(TRIM(CLEAN(Raw_Data!C29)),Lookup_Lists!$G:$H,2,FALSE()),TRIM(CLEAN(Raw_Data!C29)))</f>
        <v>Finance</v>
      </c>
      <c r="D29" s="5" t="str">
        <f>TRIM(CLEAN(Raw_Data!D29))</f>
        <v>Karan Malhotra</v>
      </c>
      <c r="E29" s="5" t="str">
        <f>IFERROR(VLOOKUP(TRIM(CLEAN(Raw_Data!E29)),Lookup_Lists!$M:$N,2,FALSE()),TRIM(CLEAN(Raw_Data!E29)))</f>
        <v>Manager</v>
      </c>
      <c r="F29" s="5" t="str">
        <f>IFERROR(VLOOKUP(TRIM(CLEAN(Raw_Data!F29)),Lookup_Lists!$A:$B,2,FALSE()),TRIM(CLEAN(Raw_Data!F29)))</f>
        <v>High</v>
      </c>
      <c r="G29" s="5" t="str">
        <f>IFERROR(VLOOKUP(TRIM(CLEAN(Raw_Data!G29)),Lookup_Lists!$J:$K,2,FALSE()),TRIM(CLEAN(Raw_Data!G29)))</f>
        <v>Research</v>
      </c>
      <c r="H29" s="13">
        <f>IF(Raw_Data!H29="","",Raw_Data!H29)</f>
        <v>45315</v>
      </c>
      <c r="I29" s="13">
        <f>IF(Raw_Data!I29="","",Raw_Data!I29)</f>
        <v>45326</v>
      </c>
      <c r="J29" s="13" t="str">
        <f>IF(Raw_Data!J29="","",Raw_Data!J29)</f>
        <v/>
      </c>
      <c r="K29" s="5" t="str">
        <f>IFERROR(VLOOKUP(TRIM(CLEAN(Raw_Data!K29)),Lookup_Lists!$D:$E,2,FALSE()),TRIM(CLEAN(Raw_Data!K29)))</f>
        <v>On Hold</v>
      </c>
      <c r="L29" s="17" t="str">
        <f>IF(TRIM(CLEAN(Raw_Data!L29))="","",IFERROR(MIN(100,MAX(0,VALUE(SUBSTITUTE(TRIM(CLEAN(Raw_Data!L29)),"%",""))))/100,0))</f>
        <v/>
      </c>
      <c r="M29" s="18">
        <f>IFERROR(IF(Raw_Data!M29="","",VALUE(Raw_Data!M29)),"")</f>
        <v>63.8</v>
      </c>
      <c r="N29" s="18">
        <f>IFERROR(IF(Raw_Data!N29="","",VALUE(Raw_Data!N29)),"")</f>
        <v>0</v>
      </c>
      <c r="O29" s="18">
        <f t="shared" si="0"/>
        <v>-63.8</v>
      </c>
      <c r="P29" s="5" t="str">
        <f>TRIM(CLEAN(Raw_Data!P29))</f>
        <v>Team capacity issue</v>
      </c>
    </row>
    <row r="30" spans="1:16" x14ac:dyDescent="0.3">
      <c r="A30" s="2" t="str">
        <f>TRIM(CLEAN(Raw_Data!A30))</f>
        <v>TSK-0029</v>
      </c>
      <c r="B30" s="2" t="str">
        <f>TRIM(CLEAN(Raw_Data!B30))</f>
        <v>CRM Migration</v>
      </c>
      <c r="C30" s="2" t="str">
        <f>IFERROR(VLOOKUP(TRIM(CLEAN(Raw_Data!C30)),Lookup_Lists!$G:$H,2,FALSE()),TRIM(CLEAN(Raw_Data!C30)))</f>
        <v>Operations</v>
      </c>
      <c r="D30" s="2" t="str">
        <f>TRIM(CLEAN(Raw_Data!D30))</f>
        <v>Karan Malhotra</v>
      </c>
      <c r="E30" s="2" t="str">
        <f>IFERROR(VLOOKUP(TRIM(CLEAN(Raw_Data!E30)),Lookup_Lists!$M:$N,2,FALSE()),TRIM(CLEAN(Raw_Data!E30)))</f>
        <v>Manager</v>
      </c>
      <c r="F30" s="2" t="str">
        <f>IFERROR(VLOOKUP(TRIM(CLEAN(Raw_Data!F30)),Lookup_Lists!$A:$B,2,FALSE()),TRIM(CLEAN(Raw_Data!F30)))</f>
        <v>Medium</v>
      </c>
      <c r="G30" s="2" t="str">
        <f>IFERROR(VLOOKUP(TRIM(CLEAN(Raw_Data!G30)),Lookup_Lists!$J:$K,2,FALSE()),TRIM(CLEAN(Raw_Data!G30)))</f>
        <v>Development</v>
      </c>
      <c r="H30" s="10">
        <f>IF(Raw_Data!H30="","",Raw_Data!H30)</f>
        <v>45658</v>
      </c>
      <c r="I30" s="10">
        <f>IF(Raw_Data!I30="","",Raw_Data!I30)</f>
        <v>45690</v>
      </c>
      <c r="J30" s="10">
        <f>IF(Raw_Data!J30="","",Raw_Data!J30)</f>
        <v>45696</v>
      </c>
      <c r="K30" s="2" t="str">
        <f>IFERROR(VLOOKUP(TRIM(CLEAN(Raw_Data!K30)),Lookup_Lists!$D:$E,2,FALSE()),TRIM(CLEAN(Raw_Data!K30)))</f>
        <v>Completed</v>
      </c>
      <c r="L30" s="15">
        <f>IF(TRIM(CLEAN(Raw_Data!L30))="","",IFERROR(MIN(100,MAX(0,VALUE(SUBSTITUTE(TRIM(CLEAN(Raw_Data!L30)),"%",""))))/100,0))</f>
        <v>1</v>
      </c>
      <c r="M30" s="16">
        <f>IFERROR(IF(Raw_Data!M30="","",VALUE(Raw_Data!M30)),"")</f>
        <v>56.2</v>
      </c>
      <c r="N30" s="16">
        <f>IFERROR(IF(Raw_Data!N30="","",VALUE(Raw_Data!N30)),"")</f>
        <v>78.8</v>
      </c>
      <c r="O30" s="16">
        <f t="shared" si="0"/>
        <v>22.599999999999994</v>
      </c>
      <c r="P30" s="2" t="str">
        <f>TRIM(CLEAN(Raw_Data!P30))</f>
        <v>escalated to management</v>
      </c>
    </row>
    <row r="31" spans="1:16" x14ac:dyDescent="0.3">
      <c r="A31" s="5" t="str">
        <f>TRIM(CLEAN(Raw_Data!A31))</f>
        <v>TSK-0030</v>
      </c>
      <c r="B31" s="5" t="str">
        <f>TRIM(CLEAN(Raw_Data!B31))</f>
        <v>Marketing Campaign</v>
      </c>
      <c r="C31" s="5" t="str">
        <f>IFERROR(VLOOKUP(TRIM(CLEAN(Raw_Data!C31)),Lookup_Lists!$G:$H,2,FALSE()),TRIM(CLEAN(Raw_Data!C31)))</f>
        <v>IT</v>
      </c>
      <c r="D31" s="5" t="str">
        <f>TRIM(CLEAN(Raw_Data!D31))</f>
        <v>Rohan Iyer</v>
      </c>
      <c r="E31" s="5" t="str">
        <f>IFERROR(VLOOKUP(TRIM(CLEAN(Raw_Data!E31)),Lookup_Lists!$M:$N,2,FALSE()),TRIM(CLEAN(Raw_Data!E31)))</f>
        <v>Designer</v>
      </c>
      <c r="F31" s="5" t="str">
        <f>IFERROR(VLOOKUP(TRIM(CLEAN(Raw_Data!F31)),Lookup_Lists!$A:$B,2,FALSE()),TRIM(CLEAN(Raw_Data!F31)))</f>
        <v>Low</v>
      </c>
      <c r="G31" s="5" t="str">
        <f>IFERROR(VLOOKUP(TRIM(CLEAN(Raw_Data!G31)),Lookup_Lists!$J:$K,2,FALSE()),TRIM(CLEAN(Raw_Data!G31)))</f>
        <v>Planning</v>
      </c>
      <c r="H31" s="13">
        <f>IF(Raw_Data!H31="","",Raw_Data!H31)</f>
        <v>45635</v>
      </c>
      <c r="I31" s="13">
        <f>IF(Raw_Data!I31="","",Raw_Data!I31)</f>
        <v>45694</v>
      </c>
      <c r="J31" s="13">
        <f>IF(Raw_Data!J31="","",Raw_Data!J31)</f>
        <v>45707</v>
      </c>
      <c r="K31" s="5" t="str">
        <f>IFERROR(VLOOKUP(TRIM(CLEAN(Raw_Data!K31)),Lookup_Lists!$D:$E,2,FALSE()),TRIM(CLEAN(Raw_Data!K31)))</f>
        <v>Completed</v>
      </c>
      <c r="L31" s="17">
        <f>IF(TRIM(CLEAN(Raw_Data!L31))="","",IFERROR(MIN(100,MAX(0,VALUE(SUBSTITUTE(TRIM(CLEAN(Raw_Data!L31)),"%",""))))/100,0))</f>
        <v>1</v>
      </c>
      <c r="M31" s="18">
        <f>IFERROR(IF(Raw_Data!M31="","",VALUE(Raw_Data!M31)),"")</f>
        <v>42.5</v>
      </c>
      <c r="N31" s="18">
        <f>IFERROR(IF(Raw_Data!N31="","",VALUE(Raw_Data!N31)),"")</f>
        <v>54.2</v>
      </c>
      <c r="O31" s="18">
        <f t="shared" si="0"/>
        <v>11.700000000000003</v>
      </c>
      <c r="P31" s="5" t="str">
        <f>TRIM(CLEAN(Raw_Data!P31))</f>
        <v>Budget approved</v>
      </c>
    </row>
    <row r="32" spans="1:16" x14ac:dyDescent="0.3">
      <c r="A32" s="2" t="str">
        <f>TRIM(CLEAN(Raw_Data!A32))</f>
        <v>TSK-0031</v>
      </c>
      <c r="B32" s="2" t="str">
        <f>TRIM(CLEAN(Raw_Data!B32))</f>
        <v>Supply Chain Optimization</v>
      </c>
      <c r="C32" s="2" t="str">
        <f>IFERROR(VLOOKUP(TRIM(CLEAN(Raw_Data!C32)),Lookup_Lists!$G:$H,2,FALSE()),TRIM(CLEAN(Raw_Data!C32)))</f>
        <v>Finance</v>
      </c>
      <c r="D32" s="2" t="str">
        <f>TRIM(CLEAN(Raw_Data!D32))</f>
        <v>Sneha Gupta</v>
      </c>
      <c r="E32" s="2" t="str">
        <f>IFERROR(VLOOKUP(TRIM(CLEAN(Raw_Data!E32)),Lookup_Lists!$M:$N,2,FALSE()),TRIM(CLEAN(Raw_Data!E32)))</f>
        <v>Coordinator</v>
      </c>
      <c r="F32" s="2" t="str">
        <f>IFERROR(VLOOKUP(TRIM(CLEAN(Raw_Data!F32)),Lookup_Lists!$A:$B,2,FALSE()),TRIM(CLEAN(Raw_Data!F32)))</f>
        <v>Low</v>
      </c>
      <c r="G32" s="2" t="str">
        <f>IFERROR(VLOOKUP(TRIM(CLEAN(Raw_Data!G32)),Lookup_Lists!$J:$K,2,FALSE()),TRIM(CLEAN(Raw_Data!G32)))</f>
        <v>Review</v>
      </c>
      <c r="H32" s="10">
        <f>IF(Raw_Data!H32="","",Raw_Data!H32)</f>
        <v>45642</v>
      </c>
      <c r="I32" s="10">
        <f>IF(Raw_Data!I32="","",Raw_Data!I32)</f>
        <v>45694</v>
      </c>
      <c r="J32" s="10" t="str">
        <f>IF(Raw_Data!J32="","",Raw_Data!J32)</f>
        <v/>
      </c>
      <c r="K32" s="2" t="str">
        <f>IFERROR(VLOOKUP(TRIM(CLEAN(Raw_Data!K32)),Lookup_Lists!$D:$E,2,FALSE()),TRIM(CLEAN(Raw_Data!K32)))</f>
        <v>In Progress</v>
      </c>
      <c r="L32" s="15" t="str">
        <f>IF(TRIM(CLEAN(Raw_Data!L32))="","",IFERROR(MIN(100,MAX(0,VALUE(SUBSTITUTE(TRIM(CLEAN(Raw_Data!L32)),"%",""))))/100,0))</f>
        <v/>
      </c>
      <c r="M32" s="16">
        <f>IFERROR(IF(Raw_Data!M32="","",VALUE(Raw_Data!M32)),"")</f>
        <v>45.6</v>
      </c>
      <c r="N32" s="16" t="str">
        <f>IFERROR(IF(Raw_Data!N32="","",VALUE(Raw_Data!N32)),"")</f>
        <v/>
      </c>
      <c r="O32" s="16" t="str">
        <f t="shared" si="0"/>
        <v/>
      </c>
      <c r="P32" s="2" t="str">
        <f>TRIM(CLEAN(Raw_Data!P32))</f>
        <v>Scope changed mid-sprint</v>
      </c>
    </row>
    <row r="33" spans="1:16" x14ac:dyDescent="0.3">
      <c r="A33" s="5" t="str">
        <f>TRIM(CLEAN(Raw_Data!A33))</f>
        <v>TSK-0032</v>
      </c>
      <c r="B33" s="5" t="str">
        <f>TRIM(CLEAN(Raw_Data!B33))</f>
        <v>Marketing Campaign</v>
      </c>
      <c r="C33" s="5" t="str">
        <f>IFERROR(VLOOKUP(TRIM(CLEAN(Raw_Data!C33)),Lookup_Lists!$G:$H,2,FALSE()),TRIM(CLEAN(Raw_Data!C33)))</f>
        <v>HR</v>
      </c>
      <c r="D33" s="5" t="str">
        <f>TRIM(CLEAN(Raw_Data!D33))</f>
        <v>Kavita Rao</v>
      </c>
      <c r="E33" s="5" t="str">
        <f>IFERROR(VLOOKUP(TRIM(CLEAN(Raw_Data!E33)),Lookup_Lists!$M:$N,2,FALSE()),TRIM(CLEAN(Raw_Data!E33)))</f>
        <v>Coordinator</v>
      </c>
      <c r="F33" s="5" t="str">
        <f>IFERROR(VLOOKUP(TRIM(CLEAN(Raw_Data!F33)),Lookup_Lists!$A:$B,2,FALSE()),TRIM(CLEAN(Raw_Data!F33)))</f>
        <v>Medium</v>
      </c>
      <c r="G33" s="5" t="str">
        <f>IFERROR(VLOOKUP(TRIM(CLEAN(Raw_Data!G33)),Lookup_Lists!$J:$K,2,FALSE()),TRIM(CLEAN(Raw_Data!G33)))</f>
        <v>Design</v>
      </c>
      <c r="H33" s="13">
        <f>IF(Raw_Data!H33="","",Raw_Data!H33)</f>
        <v>45557</v>
      </c>
      <c r="I33" s="13">
        <f>IF(Raw_Data!I33="","",Raw_Data!I33)</f>
        <v>45592</v>
      </c>
      <c r="J33" s="13" t="str">
        <f>IF(Raw_Data!J33="","",Raw_Data!J33)</f>
        <v/>
      </c>
      <c r="K33" s="5" t="str">
        <f>IFERROR(VLOOKUP(TRIM(CLEAN(Raw_Data!K33)),Lookup_Lists!$D:$E,2,FALSE()),TRIM(CLEAN(Raw_Data!K33)))</f>
        <v>In Progress</v>
      </c>
      <c r="L33" s="17">
        <f>IF(TRIM(CLEAN(Raw_Data!L33))="","",IFERROR(MIN(100,MAX(0,VALUE(SUBSTITUTE(TRIM(CLEAN(Raw_Data!L33)),"%",""))))/100,0))</f>
        <v>0.62</v>
      </c>
      <c r="M33" s="18">
        <f>IFERROR(IF(Raw_Data!M33="","",VALUE(Raw_Data!M33)),"")</f>
        <v>11.1</v>
      </c>
      <c r="N33" s="18">
        <f>IFERROR(IF(Raw_Data!N33="","",VALUE(Raw_Data!N33)),"")</f>
        <v>3.9</v>
      </c>
      <c r="O33" s="18">
        <f t="shared" si="0"/>
        <v>-7.1999999999999993</v>
      </c>
      <c r="P33" s="5" t="str">
        <f>TRIM(CLEAN(Raw_Data!P33))</f>
        <v>Scope changed mid-sprint</v>
      </c>
    </row>
    <row r="34" spans="1:16" x14ac:dyDescent="0.3">
      <c r="A34" s="2" t="str">
        <f>TRIM(CLEAN(Raw_Data!A34))</f>
        <v>TSK-0033</v>
      </c>
      <c r="B34" s="2" t="str">
        <f>TRIM(CLEAN(Raw_Data!B34))</f>
        <v>Product Launch</v>
      </c>
      <c r="C34" s="2" t="str">
        <f>IFERROR(VLOOKUP(TRIM(CLEAN(Raw_Data!C34)),Lookup_Lists!$G:$H,2,FALSE()),TRIM(CLEAN(Raw_Data!C34)))</f>
        <v>Finance</v>
      </c>
      <c r="D34" s="2" t="str">
        <f>TRIM(CLEAN(Raw_Data!D34))</f>
        <v>Rahul Sharma</v>
      </c>
      <c r="E34" s="2" t="str">
        <f>IFERROR(VLOOKUP(TRIM(CLEAN(Raw_Data!E34)),Lookup_Lists!$M:$N,2,FALSE()),TRIM(CLEAN(Raw_Data!E34)))</f>
        <v>Analyst</v>
      </c>
      <c r="F34" s="2" t="str">
        <f>IFERROR(VLOOKUP(TRIM(CLEAN(Raw_Data!F34)),Lookup_Lists!$A:$B,2,FALSE()),TRIM(CLEAN(Raw_Data!F34)))</f>
        <v>High</v>
      </c>
      <c r="G34" s="2" t="str">
        <f>IFERROR(VLOOKUP(TRIM(CLEAN(Raw_Data!G34)),Lookup_Lists!$J:$K,2,FALSE()),TRIM(CLEAN(Raw_Data!G34)))</f>
        <v>Deployment</v>
      </c>
      <c r="H34" s="10">
        <f>IF(Raw_Data!H34="","",Raw_Data!H34)</f>
        <v>45608</v>
      </c>
      <c r="I34" s="10">
        <f>IF(Raw_Data!I34="","",Raw_Data!I34)</f>
        <v>45667</v>
      </c>
      <c r="J34" s="10">
        <f>IF(Raw_Data!J34="","",Raw_Data!J34)</f>
        <v>45671</v>
      </c>
      <c r="K34" s="2" t="str">
        <f>IFERROR(VLOOKUP(TRIM(CLEAN(Raw_Data!K34)),Lookup_Lists!$D:$E,2,FALSE()),TRIM(CLEAN(Raw_Data!K34)))</f>
        <v>Completed</v>
      </c>
      <c r="L34" s="15">
        <f>IF(TRIM(CLEAN(Raw_Data!L34))="","",IFERROR(MIN(100,MAX(0,VALUE(SUBSTITUTE(TRIM(CLEAN(Raw_Data!L34)),"%",""))))/100,0))</f>
        <v>1</v>
      </c>
      <c r="M34" s="16">
        <f>IFERROR(IF(Raw_Data!M34="","",VALUE(Raw_Data!M34)),"")</f>
        <v>71.3</v>
      </c>
      <c r="N34" s="16">
        <f>IFERROR(IF(Raw_Data!N34="","",VALUE(Raw_Data!N34)),"")</f>
        <v>79.3</v>
      </c>
      <c r="O34" s="16">
        <f t="shared" ref="O34:O65" si="1">IFERROR(IF(AND(N34&lt;&gt;"",M34&lt;&gt;""),N34-M34,""),"")</f>
        <v>8</v>
      </c>
      <c r="P34" s="2" t="str">
        <f>TRIM(CLEAN(Raw_Data!P34))</f>
        <v>no blockers</v>
      </c>
    </row>
    <row r="35" spans="1:16" x14ac:dyDescent="0.3">
      <c r="A35" s="5" t="str">
        <f>TRIM(CLEAN(Raw_Data!A35))</f>
        <v>TSK-0034</v>
      </c>
      <c r="B35" s="5" t="str">
        <f>TRIM(CLEAN(Raw_Data!B35))</f>
        <v>Marketing Campaign</v>
      </c>
      <c r="C35" s="5" t="str">
        <f>IFERROR(VLOOKUP(TRIM(CLEAN(Raw_Data!C35)),Lookup_Lists!$G:$H,2,FALSE()),TRIM(CLEAN(Raw_Data!C35)))</f>
        <v>Marketing</v>
      </c>
      <c r="D35" s="5" t="str">
        <f>TRIM(CLEAN(Raw_Data!D35))</f>
        <v>Amit Verma</v>
      </c>
      <c r="E35" s="5" t="str">
        <f>IFERROR(VLOOKUP(TRIM(CLEAN(Raw_Data!E35)),Lookup_Lists!$M:$N,2,FALSE()),TRIM(CLEAN(Raw_Data!E35)))</f>
        <v>Analyst</v>
      </c>
      <c r="F35" s="5" t="str">
        <f>IFERROR(VLOOKUP(TRIM(CLEAN(Raw_Data!F35)),Lookup_Lists!$A:$B,2,FALSE()),TRIM(CLEAN(Raw_Data!F35)))</f>
        <v>Critical</v>
      </c>
      <c r="G35" s="5" t="str">
        <f>IFERROR(VLOOKUP(TRIM(CLEAN(Raw_Data!G35)),Lookup_Lists!$J:$K,2,FALSE()),TRIM(CLEAN(Raw_Data!G35)))</f>
        <v>Testing</v>
      </c>
      <c r="H35" s="13">
        <f>IF(Raw_Data!H35="","",Raw_Data!H35)</f>
        <v>45694</v>
      </c>
      <c r="I35" s="13">
        <f>IF(Raw_Data!I35="","",Raw_Data!I35)</f>
        <v>45726</v>
      </c>
      <c r="J35" s="13" t="str">
        <f>IF(Raw_Data!J35="","",Raw_Data!J35)</f>
        <v/>
      </c>
      <c r="K35" s="5" t="str">
        <f>IFERROR(VLOOKUP(TRIM(CLEAN(Raw_Data!K35)),Lookup_Lists!$D:$E,2,FALSE()),TRIM(CLEAN(Raw_Data!K35)))</f>
        <v>In Progress</v>
      </c>
      <c r="L35" s="17" t="str">
        <f>IF(TRIM(CLEAN(Raw_Data!L35))="","",IFERROR(MIN(100,MAX(0,VALUE(SUBSTITUTE(TRIM(CLEAN(Raw_Data!L35)),"%",""))))/100,0))</f>
        <v/>
      </c>
      <c r="M35" s="18">
        <f>IFERROR(IF(Raw_Data!M35="","",VALUE(Raw_Data!M35)),"")</f>
        <v>7.8</v>
      </c>
      <c r="N35" s="18" t="str">
        <f>IFERROR(IF(Raw_Data!N35="","",VALUE(Raw_Data!N35)),"")</f>
        <v/>
      </c>
      <c r="O35" s="18" t="str">
        <f t="shared" si="1"/>
        <v/>
      </c>
      <c r="P35" s="5" t="str">
        <f>TRIM(CLEAN(Raw_Data!P35))</f>
        <v>Delayed due to dependency</v>
      </c>
    </row>
    <row r="36" spans="1:16" x14ac:dyDescent="0.3">
      <c r="A36" s="2" t="str">
        <f>TRIM(CLEAN(Raw_Data!A36))</f>
        <v>TSK-0035</v>
      </c>
      <c r="B36" s="2" t="str">
        <f>TRIM(CLEAN(Raw_Data!B36))</f>
        <v>Annual Audit</v>
      </c>
      <c r="C36" s="2" t="str">
        <f>IFERROR(VLOOKUP(TRIM(CLEAN(Raw_Data!C36)),Lookup_Lists!$G:$H,2,FALSE()),TRIM(CLEAN(Raw_Data!C36)))</f>
        <v>Sales</v>
      </c>
      <c r="D36" s="2" t="str">
        <f>TRIM(CLEAN(Raw_Data!D36))</f>
        <v>Rohan Iyer</v>
      </c>
      <c r="E36" s="2" t="str">
        <f>IFERROR(VLOOKUP(TRIM(CLEAN(Raw_Data!E36)),Lookup_Lists!$M:$N,2,FALSE()),TRIM(CLEAN(Raw_Data!E36)))</f>
        <v>Lead</v>
      </c>
      <c r="F36" s="2" t="str">
        <f>IFERROR(VLOOKUP(TRIM(CLEAN(Raw_Data!F36)),Lookup_Lists!$A:$B,2,FALSE()),TRIM(CLEAN(Raw_Data!F36)))</f>
        <v>Low</v>
      </c>
      <c r="G36" s="2" t="str">
        <f>IFERROR(VLOOKUP(TRIM(CLEAN(Raw_Data!G36)),Lookup_Lists!$J:$K,2,FALSE()),TRIM(CLEAN(Raw_Data!G36)))</f>
        <v>Planning</v>
      </c>
      <c r="H36" s="10">
        <f>IF(Raw_Data!H36="","",Raw_Data!H36)</f>
        <v>45682</v>
      </c>
      <c r="I36" s="10">
        <f>IF(Raw_Data!I36="","",Raw_Data!I36)</f>
        <v>45715</v>
      </c>
      <c r="J36" s="10" t="str">
        <f>IF(Raw_Data!J36="","",Raw_Data!J36)</f>
        <v/>
      </c>
      <c r="K36" s="2" t="str">
        <f>IFERROR(VLOOKUP(TRIM(CLEAN(Raw_Data!K36)),Lookup_Lists!$D:$E,2,FALSE()),TRIM(CLEAN(Raw_Data!K36)))</f>
        <v>Cancelled</v>
      </c>
      <c r="L36" s="15" t="str">
        <f>IF(TRIM(CLEAN(Raw_Data!L36))="","",IFERROR(MIN(100,MAX(0,VALUE(SUBSTITUTE(TRIM(CLEAN(Raw_Data!L36)),"%",""))))/100,0))</f>
        <v/>
      </c>
      <c r="M36" s="16">
        <f>IFERROR(IF(Raw_Data!M36="","",VALUE(Raw_Data!M36)),"")</f>
        <v>67.099999999999994</v>
      </c>
      <c r="N36" s="16" t="str">
        <f>IFERROR(IF(Raw_Data!N36="","",VALUE(Raw_Data!N36)),"")</f>
        <v/>
      </c>
      <c r="O36" s="16" t="str">
        <f t="shared" si="1"/>
        <v/>
      </c>
      <c r="P36" s="2" t="str">
        <f>TRIM(CLEAN(Raw_Data!P36))</f>
        <v/>
      </c>
    </row>
    <row r="37" spans="1:16" x14ac:dyDescent="0.3">
      <c r="A37" s="5" t="str">
        <f>TRIM(CLEAN(Raw_Data!A37))</f>
        <v>TSK-0036</v>
      </c>
      <c r="B37" s="5" t="str">
        <f>TRIM(CLEAN(Raw_Data!B37))</f>
        <v>Data Analytics Platform</v>
      </c>
      <c r="C37" s="5" t="str">
        <f>IFERROR(VLOOKUP(TRIM(CLEAN(Raw_Data!C37)),Lookup_Lists!$G:$H,2,FALSE()),TRIM(CLEAN(Raw_Data!C37)))</f>
        <v>Sales</v>
      </c>
      <c r="D37" s="5" t="str">
        <f>TRIM(CLEAN(Raw_Data!D37))</f>
        <v>Vikram Singh</v>
      </c>
      <c r="E37" s="5" t="str">
        <f>IFERROR(VLOOKUP(TRIM(CLEAN(Raw_Data!E37)),Lookup_Lists!$M:$N,2,FALSE()),TRIM(CLEAN(Raw_Data!E37)))</f>
        <v>Manager</v>
      </c>
      <c r="F37" s="5" t="str">
        <f>IFERROR(VLOOKUP(TRIM(CLEAN(Raw_Data!F37)),Lookup_Lists!$A:$B,2,FALSE()),TRIM(CLEAN(Raw_Data!F37)))</f>
        <v>Critical</v>
      </c>
      <c r="G37" s="5" t="str">
        <f>IFERROR(VLOOKUP(TRIM(CLEAN(Raw_Data!G37)),Lookup_Lists!$J:$K,2,FALSE()),TRIM(CLEAN(Raw_Data!G37)))</f>
        <v>Research</v>
      </c>
      <c r="H37" s="13">
        <f>IF(Raw_Data!H37="","",Raw_Data!H37)</f>
        <v>45688</v>
      </c>
      <c r="I37" s="13">
        <f>IF(Raw_Data!I37="","",Raw_Data!I37)</f>
        <v>45742</v>
      </c>
      <c r="J37" s="13" t="str">
        <f>IF(Raw_Data!J37="","",Raw_Data!J37)</f>
        <v/>
      </c>
      <c r="K37" s="5" t="str">
        <f>IFERROR(VLOOKUP(TRIM(CLEAN(Raw_Data!K37)),Lookup_Lists!$D:$E,2,FALSE()),TRIM(CLEAN(Raw_Data!K37)))</f>
        <v>Cancelled</v>
      </c>
      <c r="L37" s="17" t="str">
        <f>IF(TRIM(CLEAN(Raw_Data!L37))="","",IFERROR(MIN(100,MAX(0,VALUE(SUBSTITUTE(TRIM(CLEAN(Raw_Data!L37)),"%",""))))/100,0))</f>
        <v/>
      </c>
      <c r="M37" s="18">
        <f>IFERROR(IF(Raw_Data!M37="","",VALUE(Raw_Data!M37)),"")</f>
        <v>51.6</v>
      </c>
      <c r="N37" s="18">
        <f>IFERROR(IF(Raw_Data!N37="","",VALUE(Raw_Data!N37)),"")</f>
        <v>0</v>
      </c>
      <c r="O37" s="18">
        <f t="shared" si="1"/>
        <v>-51.6</v>
      </c>
      <c r="P37" s="5" t="str">
        <f>TRIM(CLEAN(Raw_Data!P37))</f>
        <v/>
      </c>
    </row>
    <row r="38" spans="1:16" x14ac:dyDescent="0.3">
      <c r="A38" s="2" t="str">
        <f>TRIM(CLEAN(Raw_Data!A38))</f>
        <v>TSK-0037</v>
      </c>
      <c r="B38" s="2" t="str">
        <f>TRIM(CLEAN(Raw_Data!B38))</f>
        <v>Employee Onboarding</v>
      </c>
      <c r="C38" s="2" t="str">
        <f>IFERROR(VLOOKUP(TRIM(CLEAN(Raw_Data!C38)),Lookup_Lists!$G:$H,2,FALSE()),TRIM(CLEAN(Raw_Data!C38)))</f>
        <v>Marketing</v>
      </c>
      <c r="D38" s="2" t="str">
        <f>TRIM(CLEAN(Raw_Data!D38))</f>
        <v>Vikram Singh</v>
      </c>
      <c r="E38" s="2" t="str">
        <f>IFERROR(VLOOKUP(TRIM(CLEAN(Raw_Data!E38)),Lookup_Lists!$M:$N,2,FALSE()),TRIM(CLEAN(Raw_Data!E38)))</f>
        <v>Designer</v>
      </c>
      <c r="F38" s="2" t="str">
        <f>IFERROR(VLOOKUP(TRIM(CLEAN(Raw_Data!F38)),Lookup_Lists!$A:$B,2,FALSE()),TRIM(CLEAN(Raw_Data!F38)))</f>
        <v>Medium</v>
      </c>
      <c r="G38" s="2" t="str">
        <f>IFERROR(VLOOKUP(TRIM(CLEAN(Raw_Data!G38)),Lookup_Lists!$J:$K,2,FALSE()),TRIM(CLEAN(Raw_Data!G38)))</f>
        <v>Development</v>
      </c>
      <c r="H38" s="10">
        <f>IF(Raw_Data!H38="","",Raw_Data!H38)</f>
        <v>45366</v>
      </c>
      <c r="I38" s="10">
        <f>IF(Raw_Data!I38="","",Raw_Data!I38)</f>
        <v>45380</v>
      </c>
      <c r="J38" s="10" t="str">
        <f>IF(Raw_Data!J38="","",Raw_Data!J38)</f>
        <v/>
      </c>
      <c r="K38" s="2" t="str">
        <f>IFERROR(VLOOKUP(TRIM(CLEAN(Raw_Data!K38)),Lookup_Lists!$D:$E,2,FALSE()),TRIM(CLEAN(Raw_Data!K38)))</f>
        <v>In Progress</v>
      </c>
      <c r="L38" s="15">
        <f>IF(TRIM(CLEAN(Raw_Data!L38))="","",IFERROR(MIN(100,MAX(0,VALUE(SUBSTITUTE(TRIM(CLEAN(Raw_Data!L38)),"%",""))))/100,0))</f>
        <v>0.64</v>
      </c>
      <c r="M38" s="16">
        <f>IFERROR(IF(Raw_Data!M38="","",VALUE(Raw_Data!M38)),"")</f>
        <v>8.9</v>
      </c>
      <c r="N38" s="16">
        <f>IFERROR(IF(Raw_Data!N38="","",VALUE(Raw_Data!N38)),"")</f>
        <v>5.3</v>
      </c>
      <c r="O38" s="16">
        <f t="shared" si="1"/>
        <v>-3.6000000000000005</v>
      </c>
      <c r="P38" s="2" t="str">
        <f>TRIM(CLEAN(Raw_Data!P38))</f>
        <v/>
      </c>
    </row>
    <row r="39" spans="1:16" x14ac:dyDescent="0.3">
      <c r="A39" s="5" t="str">
        <f>TRIM(CLEAN(Raw_Data!A39))</f>
        <v>TSK-0038</v>
      </c>
      <c r="B39" s="5" t="str">
        <f>TRIM(CLEAN(Raw_Data!B39))</f>
        <v>Product Launch</v>
      </c>
      <c r="C39" s="5" t="str">
        <f>IFERROR(VLOOKUP(TRIM(CLEAN(Raw_Data!C39)),Lookup_Lists!$G:$H,2,FALSE()),TRIM(CLEAN(Raw_Data!C39)))</f>
        <v>Operations</v>
      </c>
      <c r="D39" s="5" t="str">
        <f>TRIM(CLEAN(Raw_Data!D39))</f>
        <v>Arjun Mehta</v>
      </c>
      <c r="E39" s="5" t="str">
        <f>IFERROR(VLOOKUP(TRIM(CLEAN(Raw_Data!E39)),Lookup_Lists!$M:$N,2,FALSE()),TRIM(CLEAN(Raw_Data!E39)))</f>
        <v>Analyst</v>
      </c>
      <c r="F39" s="5" t="str">
        <f>IFERROR(VLOOKUP(TRIM(CLEAN(Raw_Data!F39)),Lookup_Lists!$A:$B,2,FALSE()),TRIM(CLEAN(Raw_Data!F39)))</f>
        <v>Critical</v>
      </c>
      <c r="G39" s="5" t="str">
        <f>IFERROR(VLOOKUP(TRIM(CLEAN(Raw_Data!G39)),Lookup_Lists!$J:$K,2,FALSE()),TRIM(CLEAN(Raw_Data!G39)))</f>
        <v>Review</v>
      </c>
      <c r="H39" s="13">
        <f>IF(Raw_Data!H39="","",Raw_Data!H39)</f>
        <v>45540</v>
      </c>
      <c r="I39" s="13">
        <f>IF(Raw_Data!I39="","",Raw_Data!I39)</f>
        <v>45545</v>
      </c>
      <c r="J39" s="13" t="str">
        <f>IF(Raw_Data!J39="","",Raw_Data!J39)</f>
        <v/>
      </c>
      <c r="K39" s="5" t="str">
        <f>IFERROR(VLOOKUP(TRIM(CLEAN(Raw_Data!K39)),Lookup_Lists!$D:$E,2,FALSE()),TRIM(CLEAN(Raw_Data!K39)))</f>
        <v>Not Started</v>
      </c>
      <c r="L39" s="17">
        <f>IF(TRIM(CLEAN(Raw_Data!L39))="","",IFERROR(MIN(100,MAX(0,VALUE(SUBSTITUTE(TRIM(CLEAN(Raw_Data!L39)),"%",""))))/100,0))</f>
        <v>0</v>
      </c>
      <c r="M39" s="18">
        <f>IFERROR(IF(Raw_Data!M39="","",VALUE(Raw_Data!M39)),"")</f>
        <v>61.3</v>
      </c>
      <c r="N39" s="18">
        <f>IFERROR(IF(Raw_Data!N39="","",VALUE(Raw_Data!N39)),"")</f>
        <v>0</v>
      </c>
      <c r="O39" s="18">
        <f t="shared" si="1"/>
        <v>-61.3</v>
      </c>
      <c r="P39" s="5" t="str">
        <f>TRIM(CLEAN(Raw_Data!P39))</f>
        <v>Priority shifted</v>
      </c>
    </row>
    <row r="40" spans="1:16" x14ac:dyDescent="0.3">
      <c r="A40" s="2" t="str">
        <f>TRIM(CLEAN(Raw_Data!A40))</f>
        <v>TSK-0039</v>
      </c>
      <c r="B40" s="2" t="str">
        <f>TRIM(CLEAN(Raw_Data!B40))</f>
        <v>Mobile App v2</v>
      </c>
      <c r="C40" s="2" t="str">
        <f>IFERROR(VLOOKUP(TRIM(CLEAN(Raw_Data!C40)),Lookup_Lists!$G:$H,2,FALSE()),TRIM(CLEAN(Raw_Data!C40)))</f>
        <v>Marketing</v>
      </c>
      <c r="D40" s="2" t="str">
        <f>TRIM(CLEAN(Raw_Data!D40))</f>
        <v>Kavita Rao</v>
      </c>
      <c r="E40" s="2" t="str">
        <f>IFERROR(VLOOKUP(TRIM(CLEAN(Raw_Data!E40)),Lookup_Lists!$M:$N,2,FALSE()),TRIM(CLEAN(Raw_Data!E40)))</f>
        <v>Manager</v>
      </c>
      <c r="F40" s="2" t="str">
        <f>IFERROR(VLOOKUP(TRIM(CLEAN(Raw_Data!F40)),Lookup_Lists!$A:$B,2,FALSE()),TRIM(CLEAN(Raw_Data!F40)))</f>
        <v>Medium</v>
      </c>
      <c r="G40" s="2" t="str">
        <f>IFERROR(VLOOKUP(TRIM(CLEAN(Raw_Data!G40)),Lookup_Lists!$J:$K,2,FALSE()),TRIM(CLEAN(Raw_Data!G40)))</f>
        <v>Documentation</v>
      </c>
      <c r="H40" s="10">
        <f>IF(Raw_Data!H40="","",Raw_Data!H40)</f>
        <v>45544</v>
      </c>
      <c r="I40" s="10">
        <f>IF(Raw_Data!I40="","",Raw_Data!I40)</f>
        <v>45550</v>
      </c>
      <c r="J40" s="10" t="str">
        <f>IF(Raw_Data!J40="","",Raw_Data!J40)</f>
        <v/>
      </c>
      <c r="K40" s="2" t="str">
        <f>IFERROR(VLOOKUP(TRIM(CLEAN(Raw_Data!K40)),Lookup_Lists!$D:$E,2,FALSE()),TRIM(CLEAN(Raw_Data!K40)))</f>
        <v>On Hold</v>
      </c>
      <c r="L40" s="15" t="str">
        <f>IF(TRIM(CLEAN(Raw_Data!L40))="","",IFERROR(MIN(100,MAX(0,VALUE(SUBSTITUTE(TRIM(CLEAN(Raw_Data!L40)),"%",""))))/100,0))</f>
        <v/>
      </c>
      <c r="M40" s="16">
        <f>IFERROR(IF(Raw_Data!M40="","",VALUE(Raw_Data!M40)),"")</f>
        <v>55.6</v>
      </c>
      <c r="N40" s="16">
        <f>IFERROR(IF(Raw_Data!N40="","",VALUE(Raw_Data!N40)),"")</f>
        <v>0</v>
      </c>
      <c r="O40" s="16">
        <f t="shared" si="1"/>
        <v>-55.6</v>
      </c>
      <c r="P40" s="2" t="str">
        <f>TRIM(CLEAN(Raw_Data!P40))</f>
        <v>escalated to management</v>
      </c>
    </row>
    <row r="41" spans="1:16" x14ac:dyDescent="0.3">
      <c r="A41" s="5" t="str">
        <f>TRIM(CLEAN(Raw_Data!A41))</f>
        <v>TSK-0040</v>
      </c>
      <c r="B41" s="5" t="str">
        <f>TRIM(CLEAN(Raw_Data!B41))</f>
        <v>Data Analytics Platform</v>
      </c>
      <c r="C41" s="5" t="str">
        <f>IFERROR(VLOOKUP(TRIM(CLEAN(Raw_Data!C41)),Lookup_Lists!$G:$H,2,FALSE()),TRIM(CLEAN(Raw_Data!C41)))</f>
        <v>Finance</v>
      </c>
      <c r="D41" s="5" t="str">
        <f>TRIM(CLEAN(Raw_Data!D41))</f>
        <v>Ananya Das</v>
      </c>
      <c r="E41" s="5" t="str">
        <f>IFERROR(VLOOKUP(TRIM(CLEAN(Raw_Data!E41)),Lookup_Lists!$M:$N,2,FALSE()),TRIM(CLEAN(Raw_Data!E41)))</f>
        <v>Analyst</v>
      </c>
      <c r="F41" s="5" t="str">
        <f>IFERROR(VLOOKUP(TRIM(CLEAN(Raw_Data!F41)),Lookup_Lists!$A:$B,2,FALSE()),TRIM(CLEAN(Raw_Data!F41)))</f>
        <v>Critical</v>
      </c>
      <c r="G41" s="5" t="str">
        <f>IFERROR(VLOOKUP(TRIM(CLEAN(Raw_Data!G41)),Lookup_Lists!$J:$K,2,FALSE()),TRIM(CLEAN(Raw_Data!G41)))</f>
        <v>Review</v>
      </c>
      <c r="H41" s="13">
        <f>IF(Raw_Data!H41="","",Raw_Data!H41)</f>
        <v>45599</v>
      </c>
      <c r="I41" s="13">
        <f>IF(Raw_Data!I41="","",Raw_Data!I41)</f>
        <v>45640</v>
      </c>
      <c r="J41" s="13">
        <f>IF(Raw_Data!J41="","",Raw_Data!J41)</f>
        <v>45632</v>
      </c>
      <c r="K41" s="5" t="str">
        <f>IFERROR(VLOOKUP(TRIM(CLEAN(Raw_Data!K41)),Lookup_Lists!$D:$E,2,FALSE()),TRIM(CLEAN(Raw_Data!K41)))</f>
        <v>Completed</v>
      </c>
      <c r="L41" s="17">
        <f>IF(TRIM(CLEAN(Raw_Data!L41))="","",IFERROR(MIN(100,MAX(0,VALUE(SUBSTITUTE(TRIM(CLEAN(Raw_Data!L41)),"%",""))))/100,0))</f>
        <v>1</v>
      </c>
      <c r="M41" s="18">
        <f>IFERROR(IF(Raw_Data!M41="","",VALUE(Raw_Data!M41)),"")</f>
        <v>14.3</v>
      </c>
      <c r="N41" s="18">
        <f>IFERROR(IF(Raw_Data!N41="","",VALUE(Raw_Data!N41)),"")</f>
        <v>17.8</v>
      </c>
      <c r="O41" s="18">
        <f t="shared" si="1"/>
        <v>3.5</v>
      </c>
      <c r="P41" s="5" t="str">
        <f>TRIM(CLEAN(Raw_Data!P41))</f>
        <v>Need more resources</v>
      </c>
    </row>
    <row r="42" spans="1:16" x14ac:dyDescent="0.3">
      <c r="A42" s="2" t="str">
        <f>TRIM(CLEAN(Raw_Data!A42))</f>
        <v>TSK-0041</v>
      </c>
      <c r="B42" s="2" t="str">
        <f>TRIM(CLEAN(Raw_Data!B42))</f>
        <v>IT Infrastructure</v>
      </c>
      <c r="C42" s="2" t="str">
        <f>IFERROR(VLOOKUP(TRIM(CLEAN(Raw_Data!C42)),Lookup_Lists!$G:$H,2,FALSE()),TRIM(CLEAN(Raw_Data!C42)))</f>
        <v>Marketing</v>
      </c>
      <c r="D42" s="2" t="str">
        <f>TRIM(CLEAN(Raw_Data!D42))</f>
        <v>Kavita Rao</v>
      </c>
      <c r="E42" s="2" t="str">
        <f>IFERROR(VLOOKUP(TRIM(CLEAN(Raw_Data!E42)),Lookup_Lists!$M:$N,2,FALSE()),TRIM(CLEAN(Raw_Data!E42)))</f>
        <v>Designer</v>
      </c>
      <c r="F42" s="2" t="str">
        <f>IFERROR(VLOOKUP(TRIM(CLEAN(Raw_Data!F42)),Lookup_Lists!$A:$B,2,FALSE()),TRIM(CLEAN(Raw_Data!F42)))</f>
        <v>Medium</v>
      </c>
      <c r="G42" s="2" t="str">
        <f>IFERROR(VLOOKUP(TRIM(CLEAN(Raw_Data!G42)),Lookup_Lists!$J:$K,2,FALSE()),TRIM(CLEAN(Raw_Data!G42)))</f>
        <v>Review</v>
      </c>
      <c r="H42" s="10">
        <f>IF(Raw_Data!H42="","",Raw_Data!H42)</f>
        <v>45438</v>
      </c>
      <c r="I42" s="10">
        <f>IF(Raw_Data!I42="","",Raw_Data!I42)</f>
        <v>45491</v>
      </c>
      <c r="J42" s="10" t="str">
        <f>IF(Raw_Data!J42="","",Raw_Data!J42)</f>
        <v/>
      </c>
      <c r="K42" s="2" t="str">
        <f>IFERROR(VLOOKUP(TRIM(CLEAN(Raw_Data!K42)),Lookup_Lists!$D:$E,2,FALSE()),TRIM(CLEAN(Raw_Data!K42)))</f>
        <v>On Hold</v>
      </c>
      <c r="L42" s="15">
        <f>IF(TRIM(CLEAN(Raw_Data!L42))="","",IFERROR(MIN(100,MAX(0,VALUE(SUBSTITUTE(TRIM(CLEAN(Raw_Data!L42)),"%",""))))/100,0))</f>
        <v>0.21</v>
      </c>
      <c r="M42" s="16">
        <f>IFERROR(IF(Raw_Data!M42="","",VALUE(Raw_Data!M42)),"")</f>
        <v>39.700000000000003</v>
      </c>
      <c r="N42" s="16" t="str">
        <f>IFERROR(IF(Raw_Data!N42="","",VALUE(Raw_Data!N42)),"")</f>
        <v/>
      </c>
      <c r="O42" s="16" t="str">
        <f t="shared" si="1"/>
        <v/>
      </c>
      <c r="P42" s="2" t="str">
        <f>TRIM(CLEAN(Raw_Data!P42))</f>
        <v>Priority shifted</v>
      </c>
    </row>
    <row r="43" spans="1:16" x14ac:dyDescent="0.3">
      <c r="A43" s="5" t="str">
        <f>TRIM(CLEAN(Raw_Data!A43))</f>
        <v>TSK-0042</v>
      </c>
      <c r="B43" s="5" t="str">
        <f>TRIM(CLEAN(Raw_Data!B43))</f>
        <v>IT Infrastructure</v>
      </c>
      <c r="C43" s="5" t="str">
        <f>IFERROR(VLOOKUP(TRIM(CLEAN(Raw_Data!C43)),Lookup_Lists!$G:$H,2,FALSE()),TRIM(CLEAN(Raw_Data!C43)))</f>
        <v>Marketing</v>
      </c>
      <c r="D43" s="5" t="str">
        <f>TRIM(CLEAN(Raw_Data!D43))</f>
        <v>Rohan Iyer</v>
      </c>
      <c r="E43" s="5" t="str">
        <f>IFERROR(VLOOKUP(TRIM(CLEAN(Raw_Data!E43)),Lookup_Lists!$M:$N,2,FALSE()),TRIM(CLEAN(Raw_Data!E43)))</f>
        <v>Analyst</v>
      </c>
      <c r="F43" s="5" t="str">
        <f>IFERROR(VLOOKUP(TRIM(CLEAN(Raw_Data!F43)),Lookup_Lists!$A:$B,2,FALSE()),TRIM(CLEAN(Raw_Data!F43)))</f>
        <v>Critical</v>
      </c>
      <c r="G43" s="5" t="str">
        <f>IFERROR(VLOOKUP(TRIM(CLEAN(Raw_Data!G43)),Lookup_Lists!$J:$K,2,FALSE()),TRIM(CLEAN(Raw_Data!G43)))</f>
        <v>Development</v>
      </c>
      <c r="H43" s="13">
        <f>IF(Raw_Data!H43="","",Raw_Data!H43)</f>
        <v>45682</v>
      </c>
      <c r="I43" s="13">
        <f>IF(Raw_Data!I43="","",Raw_Data!I43)</f>
        <v>45688</v>
      </c>
      <c r="J43" s="13" t="str">
        <f>IF(Raw_Data!J43="","",Raw_Data!J43)</f>
        <v/>
      </c>
      <c r="K43" s="5" t="str">
        <f>IFERROR(VLOOKUP(TRIM(CLEAN(Raw_Data!K43)),Lookup_Lists!$D:$E,2,FALSE()),TRIM(CLEAN(Raw_Data!K43)))</f>
        <v>In Progress</v>
      </c>
      <c r="L43" s="17">
        <f>IF(TRIM(CLEAN(Raw_Data!L43))="","",IFERROR(MIN(100,MAX(0,VALUE(SUBSTITUTE(TRIM(CLEAN(Raw_Data!L43)),"%",""))))/100,0))</f>
        <v>0.73</v>
      </c>
      <c r="M43" s="18">
        <f>IFERROR(IF(Raw_Data!M43="","",VALUE(Raw_Data!M43)),"")</f>
        <v>22.1</v>
      </c>
      <c r="N43" s="18">
        <f>IFERROR(IF(Raw_Data!N43="","",VALUE(Raw_Data!N43)),"")</f>
        <v>4</v>
      </c>
      <c r="O43" s="18">
        <f t="shared" si="1"/>
        <v>-18.100000000000001</v>
      </c>
      <c r="P43" s="5" t="str">
        <f>TRIM(CLEAN(Raw_Data!P43))</f>
        <v>Almost done</v>
      </c>
    </row>
    <row r="44" spans="1:16" x14ac:dyDescent="0.3">
      <c r="A44" s="2" t="str">
        <f>TRIM(CLEAN(Raw_Data!A44))</f>
        <v>TSK-0043</v>
      </c>
      <c r="B44" s="2" t="str">
        <f>TRIM(CLEAN(Raw_Data!B44))</f>
        <v>Employee Onboarding</v>
      </c>
      <c r="C44" s="2" t="str">
        <f>IFERROR(VLOOKUP(TRIM(CLEAN(Raw_Data!C44)),Lookup_Lists!$G:$H,2,FALSE()),TRIM(CLEAN(Raw_Data!C44)))</f>
        <v>Operations</v>
      </c>
      <c r="D44" s="2" t="str">
        <f>TRIM(CLEAN(Raw_Data!D44))</f>
        <v>Amit Verma</v>
      </c>
      <c r="E44" s="2" t="str">
        <f>IFERROR(VLOOKUP(TRIM(CLEAN(Raw_Data!E44)),Lookup_Lists!$M:$N,2,FALSE()),TRIM(CLEAN(Raw_Data!E44)))</f>
        <v>Developer</v>
      </c>
      <c r="F44" s="2" t="str">
        <f>IFERROR(VLOOKUP(TRIM(CLEAN(Raw_Data!F44)),Lookup_Lists!$A:$B,2,FALSE()),TRIM(CLEAN(Raw_Data!F44)))</f>
        <v>Critical</v>
      </c>
      <c r="G44" s="2" t="str">
        <f>IFERROR(VLOOKUP(TRIM(CLEAN(Raw_Data!G44)),Lookup_Lists!$J:$K,2,FALSE()),TRIM(CLEAN(Raw_Data!G44)))</f>
        <v>Design</v>
      </c>
      <c r="H44" s="10">
        <f>IF(Raw_Data!H44="","",Raw_Data!H44)</f>
        <v>45455</v>
      </c>
      <c r="I44" s="10">
        <f>IF(Raw_Data!I44="","",Raw_Data!I44)</f>
        <v>45466</v>
      </c>
      <c r="J44" s="10">
        <f>IF(Raw_Data!J44="","",Raw_Data!J44)</f>
        <v>45465</v>
      </c>
      <c r="K44" s="2" t="str">
        <f>IFERROR(VLOOKUP(TRIM(CLEAN(Raw_Data!K44)),Lookup_Lists!$D:$E,2,FALSE()),TRIM(CLEAN(Raw_Data!K44)))</f>
        <v>Completed</v>
      </c>
      <c r="L44" s="15">
        <f>IF(TRIM(CLEAN(Raw_Data!L44))="","",IFERROR(MIN(100,MAX(0,VALUE(SUBSTITUTE(TRIM(CLEAN(Raw_Data!L44)),"%",""))))/100,0))</f>
        <v>1</v>
      </c>
      <c r="M44" s="16">
        <f>IFERROR(IF(Raw_Data!M44="","",VALUE(Raw_Data!M44)),"")</f>
        <v>55.5</v>
      </c>
      <c r="N44" s="16">
        <f>IFERROR(IF(Raw_Data!N44="","",VALUE(Raw_Data!N44)),"")</f>
        <v>78.8</v>
      </c>
      <c r="O44" s="16">
        <f t="shared" si="1"/>
        <v>23.299999999999997</v>
      </c>
      <c r="P44" s="2" t="str">
        <f>TRIM(CLEAN(Raw_Data!P44))</f>
        <v/>
      </c>
    </row>
    <row r="45" spans="1:16" x14ac:dyDescent="0.3">
      <c r="A45" s="5" t="str">
        <f>TRIM(CLEAN(Raw_Data!A45))</f>
        <v>TSK-0044</v>
      </c>
      <c r="B45" s="5" t="str">
        <f>TRIM(CLEAN(Raw_Data!B45))</f>
        <v>Mobile App v2</v>
      </c>
      <c r="C45" s="5" t="str">
        <f>IFERROR(VLOOKUP(TRIM(CLEAN(Raw_Data!C45)),Lookup_Lists!$G:$H,2,FALSE()),TRIM(CLEAN(Raw_Data!C45)))</f>
        <v>Marketing</v>
      </c>
      <c r="D45" s="5" t="str">
        <f>TRIM(CLEAN(Raw_Data!D45))</f>
        <v>Priya Patel</v>
      </c>
      <c r="E45" s="5" t="str">
        <f>IFERROR(VLOOKUP(TRIM(CLEAN(Raw_Data!E45)),Lookup_Lists!$M:$N,2,FALSE()),TRIM(CLEAN(Raw_Data!E45)))</f>
        <v>Designer</v>
      </c>
      <c r="F45" s="5" t="str">
        <f>IFERROR(VLOOKUP(TRIM(CLEAN(Raw_Data!F45)),Lookup_Lists!$A:$B,2,FALSE()),TRIM(CLEAN(Raw_Data!F45)))</f>
        <v>Critical</v>
      </c>
      <c r="G45" s="5" t="str">
        <f>IFERROR(VLOOKUP(TRIM(CLEAN(Raw_Data!G45)),Lookup_Lists!$J:$K,2,FALSE()),TRIM(CLEAN(Raw_Data!G45)))</f>
        <v>Testing</v>
      </c>
      <c r="H45" s="13">
        <f>IF(Raw_Data!H45="","",Raw_Data!H45)</f>
        <v>45585</v>
      </c>
      <c r="I45" s="13">
        <f>IF(Raw_Data!I45="","",Raw_Data!I45)</f>
        <v>45640</v>
      </c>
      <c r="J45" s="13">
        <f>IF(Raw_Data!J45="","",Raw_Data!J45)</f>
        <v>45641</v>
      </c>
      <c r="K45" s="5" t="str">
        <f>IFERROR(VLOOKUP(TRIM(CLEAN(Raw_Data!K45)),Lookup_Lists!$D:$E,2,FALSE()),TRIM(CLEAN(Raw_Data!K45)))</f>
        <v>Completed</v>
      </c>
      <c r="L45" s="17">
        <f>IF(TRIM(CLEAN(Raw_Data!L45))="","",IFERROR(MIN(100,MAX(0,VALUE(SUBSTITUTE(TRIM(CLEAN(Raw_Data!L45)),"%",""))))/100,0))</f>
        <v>1</v>
      </c>
      <c r="M45" s="18">
        <f>IFERROR(IF(Raw_Data!M45="","",VALUE(Raw_Data!M45)),"")</f>
        <v>36.6</v>
      </c>
      <c r="N45" s="18">
        <f>IFERROR(IF(Raw_Data!N45="","",VALUE(Raw_Data!N45)),"")</f>
        <v>36.4</v>
      </c>
      <c r="O45" s="18">
        <f t="shared" si="1"/>
        <v>-0.20000000000000284</v>
      </c>
      <c r="P45" s="5" t="str">
        <f>TRIM(CLEAN(Raw_Data!P45))</f>
        <v>Rescheduled</v>
      </c>
    </row>
    <row r="46" spans="1:16" x14ac:dyDescent="0.3">
      <c r="A46" s="2" t="str">
        <f>TRIM(CLEAN(Raw_Data!A46))</f>
        <v>TSK-0045</v>
      </c>
      <c r="B46" s="2" t="str">
        <f>TRIM(CLEAN(Raw_Data!B46))</f>
        <v>Marketing Campaign</v>
      </c>
      <c r="C46" s="2" t="str">
        <f>IFERROR(VLOOKUP(TRIM(CLEAN(Raw_Data!C46)),Lookup_Lists!$G:$H,2,FALSE()),TRIM(CLEAN(Raw_Data!C46)))</f>
        <v>Sales</v>
      </c>
      <c r="D46" s="2" t="str">
        <f>TRIM(CLEAN(Raw_Data!D46))</f>
        <v>Priya Patel</v>
      </c>
      <c r="E46" s="2" t="str">
        <f>IFERROR(VLOOKUP(TRIM(CLEAN(Raw_Data!E46)),Lookup_Lists!$M:$N,2,FALSE()),TRIM(CLEAN(Raw_Data!E46)))</f>
        <v>Coordinator</v>
      </c>
      <c r="F46" s="2" t="str">
        <f>IFERROR(VLOOKUP(TRIM(CLEAN(Raw_Data!F46)),Lookup_Lists!$A:$B,2,FALSE()),TRIM(CLEAN(Raw_Data!F46)))</f>
        <v>Medium</v>
      </c>
      <c r="G46" s="2" t="str">
        <f>IFERROR(VLOOKUP(TRIM(CLEAN(Raw_Data!G46)),Lookup_Lists!$J:$K,2,FALSE()),TRIM(CLEAN(Raw_Data!G46)))</f>
        <v>Documentation</v>
      </c>
      <c r="H46" s="10">
        <f>IF(Raw_Data!H46="","",Raw_Data!H46)</f>
        <v>45658</v>
      </c>
      <c r="I46" s="10">
        <f>IF(Raw_Data!I46="","",Raw_Data!I46)</f>
        <v>45672</v>
      </c>
      <c r="J46" s="10" t="str">
        <f>IF(Raw_Data!J46="","",Raw_Data!J46)</f>
        <v/>
      </c>
      <c r="K46" s="2" t="str">
        <f>IFERROR(VLOOKUP(TRIM(CLEAN(Raw_Data!K46)),Lookup_Lists!$D:$E,2,FALSE()),TRIM(CLEAN(Raw_Data!K46)))</f>
        <v>On Hold</v>
      </c>
      <c r="L46" s="15" t="str">
        <f>IF(TRIM(CLEAN(Raw_Data!L46))="","",IFERROR(MIN(100,MAX(0,VALUE(SUBSTITUTE(TRIM(CLEAN(Raw_Data!L46)),"%",""))))/100,0))</f>
        <v/>
      </c>
      <c r="M46" s="16">
        <f>IFERROR(IF(Raw_Data!M46="","",VALUE(Raw_Data!M46)),"")</f>
        <v>43.7</v>
      </c>
      <c r="N46" s="16" t="str">
        <f>IFERROR(IF(Raw_Data!N46="","",VALUE(Raw_Data!N46)),"")</f>
        <v/>
      </c>
      <c r="O46" s="16" t="str">
        <f t="shared" si="1"/>
        <v/>
      </c>
      <c r="P46" s="2" t="str">
        <f>TRIM(CLEAN(Raw_Data!P46))</f>
        <v>Resource conflict</v>
      </c>
    </row>
    <row r="47" spans="1:16" x14ac:dyDescent="0.3">
      <c r="A47" s="5" t="str">
        <f>TRIM(CLEAN(Raw_Data!A47))</f>
        <v>TSK-0046</v>
      </c>
      <c r="B47" s="5" t="str">
        <f>TRIM(CLEAN(Raw_Data!B47))</f>
        <v>Supply Chain Optimization</v>
      </c>
      <c r="C47" s="5" t="str">
        <f>IFERROR(VLOOKUP(TRIM(CLEAN(Raw_Data!C47)),Lookup_Lists!$G:$H,2,FALSE()),TRIM(CLEAN(Raw_Data!C47)))</f>
        <v>Sales</v>
      </c>
      <c r="D47" s="5" t="str">
        <f>TRIM(CLEAN(Raw_Data!D47))</f>
        <v>Kavita Rao</v>
      </c>
      <c r="E47" s="5" t="str">
        <f>IFERROR(VLOOKUP(TRIM(CLEAN(Raw_Data!E47)),Lookup_Lists!$M:$N,2,FALSE()),TRIM(CLEAN(Raw_Data!E47)))</f>
        <v>Coordinator</v>
      </c>
      <c r="F47" s="5" t="str">
        <f>IFERROR(VLOOKUP(TRIM(CLEAN(Raw_Data!F47)),Lookup_Lists!$A:$B,2,FALSE()),TRIM(CLEAN(Raw_Data!F47)))</f>
        <v>Critical</v>
      </c>
      <c r="G47" s="5" t="str">
        <f>IFERROR(VLOOKUP(TRIM(CLEAN(Raw_Data!G47)),Lookup_Lists!$J:$K,2,FALSE()),TRIM(CLEAN(Raw_Data!G47)))</f>
        <v>Research</v>
      </c>
      <c r="H47" s="13">
        <f>IF(Raw_Data!H47="","",Raw_Data!H47)</f>
        <v>45461</v>
      </c>
      <c r="I47" s="13">
        <f>IF(Raw_Data!I47="","",Raw_Data!I47)</f>
        <v>45520</v>
      </c>
      <c r="J47" s="13" t="str">
        <f>IF(Raw_Data!J47="","",Raw_Data!J47)</f>
        <v/>
      </c>
      <c r="K47" s="5" t="str">
        <f>IFERROR(VLOOKUP(TRIM(CLEAN(Raw_Data!K47)),Lookup_Lists!$D:$E,2,FALSE()),TRIM(CLEAN(Raw_Data!K47)))</f>
        <v>In Progress</v>
      </c>
      <c r="L47" s="17">
        <f>IF(TRIM(CLEAN(Raw_Data!L47))="","",IFERROR(MIN(100,MAX(0,VALUE(SUBSTITUTE(TRIM(CLEAN(Raw_Data!L47)),"%",""))))/100,0))</f>
        <v>0.37</v>
      </c>
      <c r="M47" s="18">
        <f>IFERROR(IF(Raw_Data!M47="","",VALUE(Raw_Data!M47)),"")</f>
        <v>61</v>
      </c>
      <c r="N47" s="18">
        <f>IFERROR(IF(Raw_Data!N47="","",VALUE(Raw_Data!N47)),"")</f>
        <v>37.299999999999997</v>
      </c>
      <c r="O47" s="18">
        <f t="shared" si="1"/>
        <v>-23.700000000000003</v>
      </c>
      <c r="P47" s="5" t="str">
        <f>TRIM(CLEAN(Raw_Data!P47))</f>
        <v>Budget approved</v>
      </c>
    </row>
    <row r="48" spans="1:16" x14ac:dyDescent="0.3">
      <c r="A48" s="2" t="str">
        <f>TRIM(CLEAN(Raw_Data!A48))</f>
        <v>TSK-0047</v>
      </c>
      <c r="B48" s="2" t="str">
        <f>TRIM(CLEAN(Raw_Data!B48))</f>
        <v>Data Analytics Platform</v>
      </c>
      <c r="C48" s="2" t="str">
        <f>IFERROR(VLOOKUP(TRIM(CLEAN(Raw_Data!C48)),Lookup_Lists!$G:$H,2,FALSE()),TRIM(CLEAN(Raw_Data!C48)))</f>
        <v>HR</v>
      </c>
      <c r="D48" s="2" t="str">
        <f>TRIM(CLEAN(Raw_Data!D48))</f>
        <v>Amit Verma</v>
      </c>
      <c r="E48" s="2" t="str">
        <f>IFERROR(VLOOKUP(TRIM(CLEAN(Raw_Data!E48)),Lookup_Lists!$M:$N,2,FALSE()),TRIM(CLEAN(Raw_Data!E48)))</f>
        <v>Lead</v>
      </c>
      <c r="F48" s="2" t="str">
        <f>IFERROR(VLOOKUP(TRIM(CLEAN(Raw_Data!F48)),Lookup_Lists!$A:$B,2,FALSE()),TRIM(CLEAN(Raw_Data!F48)))</f>
        <v>High</v>
      </c>
      <c r="G48" s="2" t="str">
        <f>IFERROR(VLOOKUP(TRIM(CLEAN(Raw_Data!G48)),Lookup_Lists!$J:$K,2,FALSE()),TRIM(CLEAN(Raw_Data!G48)))</f>
        <v>Review</v>
      </c>
      <c r="H48" s="10">
        <f>IF(Raw_Data!H48="","",Raw_Data!H48)</f>
        <v>45428</v>
      </c>
      <c r="I48" s="10">
        <f>IF(Raw_Data!I48="","",Raw_Data!I48)</f>
        <v>45454</v>
      </c>
      <c r="J48" s="10" t="str">
        <f>IF(Raw_Data!J48="","",Raw_Data!J48)</f>
        <v/>
      </c>
      <c r="K48" s="2" t="str">
        <f>IFERROR(VLOOKUP(TRIM(CLEAN(Raw_Data!K48)),Lookup_Lists!$D:$E,2,FALSE()),TRIM(CLEAN(Raw_Data!K48)))</f>
        <v>Not Started</v>
      </c>
      <c r="L48" s="15" t="str">
        <f>IF(TRIM(CLEAN(Raw_Data!L48))="","",IFERROR(MIN(100,MAX(0,VALUE(SUBSTITUTE(TRIM(CLEAN(Raw_Data!L48)),"%",""))))/100,0))</f>
        <v/>
      </c>
      <c r="M48" s="16">
        <f>IFERROR(IF(Raw_Data!M48="","",VALUE(Raw_Data!M48)),"")</f>
        <v>57.3</v>
      </c>
      <c r="N48" s="16">
        <f>IFERROR(IF(Raw_Data!N48="","",VALUE(Raw_Data!N48)),"")</f>
        <v>0</v>
      </c>
      <c r="O48" s="16">
        <f t="shared" si="1"/>
        <v>-57.3</v>
      </c>
      <c r="P48" s="2" t="str">
        <f>TRIM(CLEAN(Raw_Data!P48))</f>
        <v>Priority shifted</v>
      </c>
    </row>
    <row r="49" spans="1:16" x14ac:dyDescent="0.3">
      <c r="A49" s="5" t="str">
        <f>TRIM(CLEAN(Raw_Data!A49))</f>
        <v>TSK-0048</v>
      </c>
      <c r="B49" s="5" t="str">
        <f>TRIM(CLEAN(Raw_Data!B49))</f>
        <v>Supply Chain Optimization</v>
      </c>
      <c r="C49" s="5" t="str">
        <f>IFERROR(VLOOKUP(TRIM(CLEAN(Raw_Data!C49)),Lookup_Lists!$G:$H,2,FALSE()),TRIM(CLEAN(Raw_Data!C49)))</f>
        <v>Marketing</v>
      </c>
      <c r="D49" s="5" t="str">
        <f>TRIM(CLEAN(Raw_Data!D49))</f>
        <v>Priya Patel</v>
      </c>
      <c r="E49" s="5" t="str">
        <f>IFERROR(VLOOKUP(TRIM(CLEAN(Raw_Data!E49)),Lookup_Lists!$M:$N,2,FALSE()),TRIM(CLEAN(Raw_Data!E49)))</f>
        <v>Manager</v>
      </c>
      <c r="F49" s="5" t="str">
        <f>IFERROR(VLOOKUP(TRIM(CLEAN(Raw_Data!F49)),Lookup_Lists!$A:$B,2,FALSE()),TRIM(CLEAN(Raw_Data!F49)))</f>
        <v>Low</v>
      </c>
      <c r="G49" s="5" t="str">
        <f>IFERROR(VLOOKUP(TRIM(CLEAN(Raw_Data!G49)),Lookup_Lists!$J:$K,2,FALSE()),TRIM(CLEAN(Raw_Data!G49)))</f>
        <v>Documentation</v>
      </c>
      <c r="H49" s="13">
        <f>IF(Raw_Data!H49="","",Raw_Data!H49)</f>
        <v>45546</v>
      </c>
      <c r="I49" s="13">
        <f>IF(Raw_Data!I49="","",Raw_Data!I49)</f>
        <v>45586</v>
      </c>
      <c r="J49" s="13" t="str">
        <f>IF(Raw_Data!J49="","",Raw_Data!J49)</f>
        <v/>
      </c>
      <c r="K49" s="5" t="str">
        <f>IFERROR(VLOOKUP(TRIM(CLEAN(Raw_Data!K49)),Lookup_Lists!$D:$E,2,FALSE()),TRIM(CLEAN(Raw_Data!K49)))</f>
        <v>In Progress</v>
      </c>
      <c r="L49" s="17" t="str">
        <f>IF(TRIM(CLEAN(Raw_Data!L49))="","",IFERROR(MIN(100,MAX(0,VALUE(SUBSTITUTE(TRIM(CLEAN(Raw_Data!L49)),"%",""))))/100,0))</f>
        <v/>
      </c>
      <c r="M49" s="18">
        <f>IFERROR(IF(Raw_Data!M49="","",VALUE(Raw_Data!M49)),"")</f>
        <v>64.3</v>
      </c>
      <c r="N49" s="18" t="str">
        <f>IFERROR(IF(Raw_Data!N49="","",VALUE(Raw_Data!N49)),"")</f>
        <v/>
      </c>
      <c r="O49" s="18" t="str">
        <f t="shared" si="1"/>
        <v/>
      </c>
      <c r="P49" s="5" t="str">
        <f>TRIM(CLEAN(Raw_Data!P49))</f>
        <v>Needs QA sign-off</v>
      </c>
    </row>
    <row r="50" spans="1:16" x14ac:dyDescent="0.3">
      <c r="A50" s="2" t="str">
        <f>TRIM(CLEAN(Raw_Data!A50))</f>
        <v>TSK-0049</v>
      </c>
      <c r="B50" s="2" t="str">
        <f>TRIM(CLEAN(Raw_Data!B50))</f>
        <v>Product Launch</v>
      </c>
      <c r="C50" s="2" t="str">
        <f>IFERROR(VLOOKUP(TRIM(CLEAN(Raw_Data!C50)),Lookup_Lists!$G:$H,2,FALSE()),TRIM(CLEAN(Raw_Data!C50)))</f>
        <v>HR</v>
      </c>
      <c r="D50" s="2" t="str">
        <f>TRIM(CLEAN(Raw_Data!D50))</f>
        <v>Rohan Iyer</v>
      </c>
      <c r="E50" s="2" t="str">
        <f>IFERROR(VLOOKUP(TRIM(CLEAN(Raw_Data!E50)),Lookup_Lists!$M:$N,2,FALSE()),TRIM(CLEAN(Raw_Data!E50)))</f>
        <v>Tester</v>
      </c>
      <c r="F50" s="2" t="str">
        <f>IFERROR(VLOOKUP(TRIM(CLEAN(Raw_Data!F50)),Lookup_Lists!$A:$B,2,FALSE()),TRIM(CLEAN(Raw_Data!F50)))</f>
        <v>Medium</v>
      </c>
      <c r="G50" s="2" t="str">
        <f>IFERROR(VLOOKUP(TRIM(CLEAN(Raw_Data!G50)),Lookup_Lists!$J:$K,2,FALSE()),TRIM(CLEAN(Raw_Data!G50)))</f>
        <v>Deployment</v>
      </c>
      <c r="H50" s="10">
        <f>IF(Raw_Data!H50="","",Raw_Data!H50)</f>
        <v>45472</v>
      </c>
      <c r="I50" s="10">
        <f>IF(Raw_Data!I50="","",Raw_Data!I50)</f>
        <v>45504</v>
      </c>
      <c r="J50" s="10" t="str">
        <f>IF(Raw_Data!J50="","",Raw_Data!J50)</f>
        <v/>
      </c>
      <c r="K50" s="2" t="str">
        <f>IFERROR(VLOOKUP(TRIM(CLEAN(Raw_Data!K50)),Lookup_Lists!$D:$E,2,FALSE()),TRIM(CLEAN(Raw_Data!K50)))</f>
        <v>Not Started</v>
      </c>
      <c r="L50" s="15">
        <f>IF(TRIM(CLEAN(Raw_Data!L50))="","",IFERROR(MIN(100,MAX(0,VALUE(SUBSTITUTE(TRIM(CLEAN(Raw_Data!L50)),"%",""))))/100,0))</f>
        <v>0</v>
      </c>
      <c r="M50" s="16">
        <f>IFERROR(IF(Raw_Data!M50="","",VALUE(Raw_Data!M50)),"")</f>
        <v>57.4</v>
      </c>
      <c r="N50" s="16">
        <f>IFERROR(IF(Raw_Data!N50="","",VALUE(Raw_Data!N50)),"")</f>
        <v>0</v>
      </c>
      <c r="O50" s="16">
        <f t="shared" si="1"/>
        <v>-57.4</v>
      </c>
      <c r="P50" s="2" t="str">
        <f>TRIM(CLEAN(Raw_Data!P50))</f>
        <v>Scope changed mid-sprint</v>
      </c>
    </row>
    <row r="51" spans="1:16" x14ac:dyDescent="0.3">
      <c r="A51" s="5" t="str">
        <f>TRIM(CLEAN(Raw_Data!A51))</f>
        <v>TSK-0050</v>
      </c>
      <c r="B51" s="5" t="str">
        <f>TRIM(CLEAN(Raw_Data!B51))</f>
        <v>Product Launch</v>
      </c>
      <c r="C51" s="5" t="str">
        <f>IFERROR(VLOOKUP(TRIM(CLEAN(Raw_Data!C51)),Lookup_Lists!$G:$H,2,FALSE()),TRIM(CLEAN(Raw_Data!C51)))</f>
        <v>Finance</v>
      </c>
      <c r="D51" s="5" t="str">
        <f>TRIM(CLEAN(Raw_Data!D51))</f>
        <v>Pooja Reddy</v>
      </c>
      <c r="E51" s="5" t="str">
        <f>IFERROR(VLOOKUP(TRIM(CLEAN(Raw_Data!E51)),Lookup_Lists!$M:$N,2,FALSE()),TRIM(CLEAN(Raw_Data!E51)))</f>
        <v>Manager</v>
      </c>
      <c r="F51" s="5" t="str">
        <f>IFERROR(VLOOKUP(TRIM(CLEAN(Raw_Data!F51)),Lookup_Lists!$A:$B,2,FALSE()),TRIM(CLEAN(Raw_Data!F51)))</f>
        <v>Medium</v>
      </c>
      <c r="G51" s="5" t="str">
        <f>IFERROR(VLOOKUP(TRIM(CLEAN(Raw_Data!G51)),Lookup_Lists!$J:$K,2,FALSE()),TRIM(CLEAN(Raw_Data!G51)))</f>
        <v>Testing</v>
      </c>
      <c r="H51" s="13">
        <f>IF(Raw_Data!H51="","",Raw_Data!H51)</f>
        <v>45676</v>
      </c>
      <c r="I51" s="13">
        <f>IF(Raw_Data!I51="","",Raw_Data!I51)</f>
        <v>45715</v>
      </c>
      <c r="J51" s="13" t="str">
        <f>IF(Raw_Data!J51="","",Raw_Data!J51)</f>
        <v/>
      </c>
      <c r="K51" s="5" t="str">
        <f>IFERROR(VLOOKUP(TRIM(CLEAN(Raw_Data!K51)),Lookup_Lists!$D:$E,2,FALSE()),TRIM(CLEAN(Raw_Data!K51)))</f>
        <v>In Progress</v>
      </c>
      <c r="L51" s="17">
        <f>IF(TRIM(CLEAN(Raw_Data!L51))="","",IFERROR(MIN(100,MAX(0,VALUE(SUBSTITUTE(TRIM(CLEAN(Raw_Data!L51)),"%",""))))/100,0))</f>
        <v>0.6</v>
      </c>
      <c r="M51" s="18">
        <f>IFERROR(IF(Raw_Data!M51="","",VALUE(Raw_Data!M51)),"")</f>
        <v>59.1</v>
      </c>
      <c r="N51" s="18">
        <f>IFERROR(IF(Raw_Data!N51="","",VALUE(Raw_Data!N51)),"")</f>
        <v>28.9</v>
      </c>
      <c r="O51" s="18">
        <f t="shared" si="1"/>
        <v>-30.200000000000003</v>
      </c>
      <c r="P51" s="5" t="str">
        <f>TRIM(CLEAN(Raw_Data!P51))</f>
        <v>Scope changed mid-sprint</v>
      </c>
    </row>
    <row r="52" spans="1:16" x14ac:dyDescent="0.3">
      <c r="A52" s="2" t="str">
        <f>TRIM(CLEAN(Raw_Data!A52))</f>
        <v>TSK-0051</v>
      </c>
      <c r="B52" s="2" t="str">
        <f>TRIM(CLEAN(Raw_Data!B52))</f>
        <v>Product Launch</v>
      </c>
      <c r="C52" s="2" t="str">
        <f>IFERROR(VLOOKUP(TRIM(CLEAN(Raw_Data!C52)),Lookup_Lists!$G:$H,2,FALSE()),TRIM(CLEAN(Raw_Data!C52)))</f>
        <v>HR</v>
      </c>
      <c r="D52" s="2" t="str">
        <f>TRIM(CLEAN(Raw_Data!D52))</f>
        <v>Sneha Gupta</v>
      </c>
      <c r="E52" s="2" t="str">
        <f>IFERROR(VLOOKUP(TRIM(CLEAN(Raw_Data!E52)),Lookup_Lists!$M:$N,2,FALSE()),TRIM(CLEAN(Raw_Data!E52)))</f>
        <v>Tester</v>
      </c>
      <c r="F52" s="2" t="str">
        <f>IFERROR(VLOOKUP(TRIM(CLEAN(Raw_Data!F52)),Lookup_Lists!$A:$B,2,FALSE()),TRIM(CLEAN(Raw_Data!F52)))</f>
        <v>High</v>
      </c>
      <c r="G52" s="2" t="str">
        <f>IFERROR(VLOOKUP(TRIM(CLEAN(Raw_Data!G52)),Lookup_Lists!$J:$K,2,FALSE()),TRIM(CLEAN(Raw_Data!G52)))</f>
        <v>Planning</v>
      </c>
      <c r="H52" s="10">
        <f>IF(Raw_Data!H52="","",Raw_Data!H52)</f>
        <v>45303</v>
      </c>
      <c r="I52" s="10">
        <f>IF(Raw_Data!I52="","",Raw_Data!I52)</f>
        <v>45353</v>
      </c>
      <c r="J52" s="10" t="str">
        <f>IF(Raw_Data!J52="","",Raw_Data!J52)</f>
        <v/>
      </c>
      <c r="K52" s="2" t="str">
        <f>IFERROR(VLOOKUP(TRIM(CLEAN(Raw_Data!K52)),Lookup_Lists!$D:$E,2,FALSE()),TRIM(CLEAN(Raw_Data!K52)))</f>
        <v>In Progress</v>
      </c>
      <c r="L52" s="15">
        <f>IF(TRIM(CLEAN(Raw_Data!L52))="","",IFERROR(MIN(100,MAX(0,VALUE(SUBSTITUTE(TRIM(CLEAN(Raw_Data!L52)),"%",""))))/100,0))</f>
        <v>0.33</v>
      </c>
      <c r="M52" s="16">
        <f>IFERROR(IF(Raw_Data!M52="","",VALUE(Raw_Data!M52)),"")</f>
        <v>57</v>
      </c>
      <c r="N52" s="16" t="str">
        <f>IFERROR(IF(Raw_Data!N52="","",VALUE(Raw_Data!N52)),"")</f>
        <v/>
      </c>
      <c r="O52" s="16" t="str">
        <f t="shared" si="1"/>
        <v/>
      </c>
      <c r="P52" s="2" t="str">
        <f>TRIM(CLEAN(Raw_Data!P52))</f>
        <v/>
      </c>
    </row>
    <row r="53" spans="1:16" x14ac:dyDescent="0.3">
      <c r="A53" s="5" t="str">
        <f>TRIM(CLEAN(Raw_Data!A53))</f>
        <v>TSK-0052</v>
      </c>
      <c r="B53" s="5" t="str">
        <f>TRIM(CLEAN(Raw_Data!B53))</f>
        <v>CRM Migration</v>
      </c>
      <c r="C53" s="5" t="str">
        <f>IFERROR(VLOOKUP(TRIM(CLEAN(Raw_Data!C53)),Lookup_Lists!$G:$H,2,FALSE()),TRIM(CLEAN(Raw_Data!C53)))</f>
        <v>IT</v>
      </c>
      <c r="D53" s="5" t="str">
        <f>TRIM(CLEAN(Raw_Data!D53))</f>
        <v>Ananya Das</v>
      </c>
      <c r="E53" s="5" t="str">
        <f>IFERROR(VLOOKUP(TRIM(CLEAN(Raw_Data!E53)),Lookup_Lists!$M:$N,2,FALSE()),TRIM(CLEAN(Raw_Data!E53)))</f>
        <v>Designer</v>
      </c>
      <c r="F53" s="5" t="str">
        <f>IFERROR(VLOOKUP(TRIM(CLEAN(Raw_Data!F53)),Lookup_Lists!$A:$B,2,FALSE()),TRIM(CLEAN(Raw_Data!F53)))</f>
        <v>Medium</v>
      </c>
      <c r="G53" s="5" t="str">
        <f>IFERROR(VLOOKUP(TRIM(CLEAN(Raw_Data!G53)),Lookup_Lists!$J:$K,2,FALSE()),TRIM(CLEAN(Raw_Data!G53)))</f>
        <v>Deployment</v>
      </c>
      <c r="H53" s="13">
        <f>IF(Raw_Data!H53="","",Raw_Data!H53)</f>
        <v>45521</v>
      </c>
      <c r="I53" s="13">
        <f>IF(Raw_Data!I53="","",Raw_Data!I53)</f>
        <v>45547</v>
      </c>
      <c r="J53" s="13" t="str">
        <f>IF(Raw_Data!J53="","",Raw_Data!J53)</f>
        <v/>
      </c>
      <c r="K53" s="5" t="str">
        <f>IFERROR(VLOOKUP(TRIM(CLEAN(Raw_Data!K53)),Lookup_Lists!$D:$E,2,FALSE()),TRIM(CLEAN(Raw_Data!K53)))</f>
        <v>In Progress</v>
      </c>
      <c r="L53" s="17">
        <f>IF(TRIM(CLEAN(Raw_Data!L53))="","",IFERROR(MIN(100,MAX(0,VALUE(SUBSTITUTE(TRIM(CLEAN(Raw_Data!L53)),"%",""))))/100,0))</f>
        <v>0.16</v>
      </c>
      <c r="M53" s="18">
        <f>IFERROR(IF(Raw_Data!M53="","",VALUE(Raw_Data!M53)),"")</f>
        <v>66.5</v>
      </c>
      <c r="N53" s="18">
        <f>IFERROR(IF(Raw_Data!N53="","",VALUE(Raw_Data!N53)),"")</f>
        <v>6.3</v>
      </c>
      <c r="O53" s="18">
        <f t="shared" si="1"/>
        <v>-60.2</v>
      </c>
      <c r="P53" s="5" t="str">
        <f>TRIM(CLEAN(Raw_Data!P53))</f>
        <v>Waiting on approval</v>
      </c>
    </row>
    <row r="54" spans="1:16" x14ac:dyDescent="0.3">
      <c r="A54" s="2" t="str">
        <f>TRIM(CLEAN(Raw_Data!A54))</f>
        <v>TSK-0053</v>
      </c>
      <c r="B54" s="2" t="str">
        <f>TRIM(CLEAN(Raw_Data!B54))</f>
        <v>Annual Audit</v>
      </c>
      <c r="C54" s="2" t="str">
        <f>IFERROR(VLOOKUP(TRIM(CLEAN(Raw_Data!C54)),Lookup_Lists!$G:$H,2,FALSE()),TRIM(CLEAN(Raw_Data!C54)))</f>
        <v>Finance</v>
      </c>
      <c r="D54" s="2" t="str">
        <f>TRIM(CLEAN(Raw_Data!D54))</f>
        <v>Sanjay Kulkarni</v>
      </c>
      <c r="E54" s="2" t="str">
        <f>IFERROR(VLOOKUP(TRIM(CLEAN(Raw_Data!E54)),Lookup_Lists!$M:$N,2,FALSE()),TRIM(CLEAN(Raw_Data!E54)))</f>
        <v>Designer</v>
      </c>
      <c r="F54" s="2" t="str">
        <f>IFERROR(VLOOKUP(TRIM(CLEAN(Raw_Data!F54)),Lookup_Lists!$A:$B,2,FALSE()),TRIM(CLEAN(Raw_Data!F54)))</f>
        <v>High</v>
      </c>
      <c r="G54" s="2" t="str">
        <f>IFERROR(VLOOKUP(TRIM(CLEAN(Raw_Data!G54)),Lookup_Lists!$J:$K,2,FALSE()),TRIM(CLEAN(Raw_Data!G54)))</f>
        <v>Research</v>
      </c>
      <c r="H54" s="10">
        <f>IF(Raw_Data!H54="","",Raw_Data!H54)</f>
        <v>45356</v>
      </c>
      <c r="I54" s="10">
        <f>IF(Raw_Data!I54="","",Raw_Data!I54)</f>
        <v>45396</v>
      </c>
      <c r="J54" s="10" t="str">
        <f>IF(Raw_Data!J54="","",Raw_Data!J54)</f>
        <v/>
      </c>
      <c r="K54" s="2" t="str">
        <f>IFERROR(VLOOKUP(TRIM(CLEAN(Raw_Data!K54)),Lookup_Lists!$D:$E,2,FALSE()),TRIM(CLEAN(Raw_Data!K54)))</f>
        <v>On Hold</v>
      </c>
      <c r="L54" s="15" t="str">
        <f>IF(TRIM(CLEAN(Raw_Data!L54))="","",IFERROR(MIN(100,MAX(0,VALUE(SUBSTITUTE(TRIM(CLEAN(Raw_Data!L54)),"%",""))))/100,0))</f>
        <v/>
      </c>
      <c r="M54" s="16">
        <f>IFERROR(IF(Raw_Data!M54="","",VALUE(Raw_Data!M54)),"")</f>
        <v>32.9</v>
      </c>
      <c r="N54" s="16">
        <f>IFERROR(IF(Raw_Data!N54="","",VALUE(Raw_Data!N54)),"")</f>
        <v>0</v>
      </c>
      <c r="O54" s="16">
        <f t="shared" si="1"/>
        <v>-32.9</v>
      </c>
      <c r="P54" s="2" t="str">
        <f>TRIM(CLEAN(Raw_Data!P54))</f>
        <v>Scope changed mid-sprint</v>
      </c>
    </row>
    <row r="55" spans="1:16" x14ac:dyDescent="0.3">
      <c r="A55" s="5" t="str">
        <f>TRIM(CLEAN(Raw_Data!A55))</f>
        <v>TSK-0054</v>
      </c>
      <c r="B55" s="5" t="str">
        <f>TRIM(CLEAN(Raw_Data!B55))</f>
        <v>Marketing Campaign</v>
      </c>
      <c r="C55" s="5" t="str">
        <f>IFERROR(VLOOKUP(TRIM(CLEAN(Raw_Data!C55)),Lookup_Lists!$G:$H,2,FALSE()),TRIM(CLEAN(Raw_Data!C55)))</f>
        <v>HR</v>
      </c>
      <c r="D55" s="5" t="str">
        <f>TRIM(CLEAN(Raw_Data!D55))</f>
        <v>Ananya Das</v>
      </c>
      <c r="E55" s="5" t="str">
        <f>IFERROR(VLOOKUP(TRIM(CLEAN(Raw_Data!E55)),Lookup_Lists!$M:$N,2,FALSE()),TRIM(CLEAN(Raw_Data!E55)))</f>
        <v>Analyst</v>
      </c>
      <c r="F55" s="5" t="str">
        <f>IFERROR(VLOOKUP(TRIM(CLEAN(Raw_Data!F55)),Lookup_Lists!$A:$B,2,FALSE()),TRIM(CLEAN(Raw_Data!F55)))</f>
        <v>Low</v>
      </c>
      <c r="G55" s="5" t="str">
        <f>IFERROR(VLOOKUP(TRIM(CLEAN(Raw_Data!G55)),Lookup_Lists!$J:$K,2,FALSE()),TRIM(CLEAN(Raw_Data!G55)))</f>
        <v>Testing</v>
      </c>
      <c r="H55" s="13">
        <f>IF(Raw_Data!H55="","",Raw_Data!H55)</f>
        <v>45686</v>
      </c>
      <c r="I55" s="13">
        <f>IF(Raw_Data!I55="","",Raw_Data!I55)</f>
        <v>45704</v>
      </c>
      <c r="J55" s="13" t="str">
        <f>IF(Raw_Data!J55="","",Raw_Data!J55)</f>
        <v/>
      </c>
      <c r="K55" s="5" t="str">
        <f>IFERROR(VLOOKUP(TRIM(CLEAN(Raw_Data!K55)),Lookup_Lists!$D:$E,2,FALSE()),TRIM(CLEAN(Raw_Data!K55)))</f>
        <v>In Progress</v>
      </c>
      <c r="L55" s="17">
        <f>IF(TRIM(CLEAN(Raw_Data!L55))="","",IFERROR(MIN(100,MAX(0,VALUE(SUBSTITUTE(TRIM(CLEAN(Raw_Data!L55)),"%",""))))/100,0))</f>
        <v>0.62</v>
      </c>
      <c r="M55" s="18">
        <f>IFERROR(IF(Raw_Data!M55="","",VALUE(Raw_Data!M55)),"")</f>
        <v>22.2</v>
      </c>
      <c r="N55" s="18">
        <f>IFERROR(IF(Raw_Data!N55="","",VALUE(Raw_Data!N55)),"")</f>
        <v>4.8</v>
      </c>
      <c r="O55" s="18">
        <f t="shared" si="1"/>
        <v>-17.399999999999999</v>
      </c>
      <c r="P55" s="5" t="str">
        <f>TRIM(CLEAN(Raw_Data!P55))</f>
        <v/>
      </c>
    </row>
    <row r="56" spans="1:16" x14ac:dyDescent="0.3">
      <c r="A56" s="2" t="str">
        <f>TRIM(CLEAN(Raw_Data!A56))</f>
        <v>TSK-0055</v>
      </c>
      <c r="B56" s="2" t="str">
        <f>TRIM(CLEAN(Raw_Data!B56))</f>
        <v>Mobile App v2</v>
      </c>
      <c r="C56" s="2" t="str">
        <f>IFERROR(VLOOKUP(TRIM(CLEAN(Raw_Data!C56)),Lookup_Lists!$G:$H,2,FALSE()),TRIM(CLEAN(Raw_Data!C56)))</f>
        <v>Sales</v>
      </c>
      <c r="D56" s="2" t="str">
        <f>TRIM(CLEAN(Raw_Data!D56))</f>
        <v>Vikram Singh</v>
      </c>
      <c r="E56" s="2" t="str">
        <f>IFERROR(VLOOKUP(TRIM(CLEAN(Raw_Data!E56)),Lookup_Lists!$M:$N,2,FALSE()),TRIM(CLEAN(Raw_Data!E56)))</f>
        <v>Analyst</v>
      </c>
      <c r="F56" s="2" t="str">
        <f>IFERROR(VLOOKUP(TRIM(CLEAN(Raw_Data!F56)),Lookup_Lists!$A:$B,2,FALSE()),TRIM(CLEAN(Raw_Data!F56)))</f>
        <v>High</v>
      </c>
      <c r="G56" s="2" t="str">
        <f>IFERROR(VLOOKUP(TRIM(CLEAN(Raw_Data!G56)),Lookup_Lists!$J:$K,2,FALSE()),TRIM(CLEAN(Raw_Data!G56)))</f>
        <v>Planning</v>
      </c>
      <c r="H56" s="10">
        <f>IF(Raw_Data!H56="","",Raw_Data!H56)</f>
        <v>45657</v>
      </c>
      <c r="I56" s="10">
        <f>IF(Raw_Data!I56="","",Raw_Data!I56)</f>
        <v>45680</v>
      </c>
      <c r="J56" s="10" t="str">
        <f>IF(Raw_Data!J56="","",Raw_Data!J56)</f>
        <v/>
      </c>
      <c r="K56" s="2" t="str">
        <f>IFERROR(VLOOKUP(TRIM(CLEAN(Raw_Data!K56)),Lookup_Lists!$D:$E,2,FALSE()),TRIM(CLEAN(Raw_Data!K56)))</f>
        <v>On Hold</v>
      </c>
      <c r="L56" s="15" t="str">
        <f>IF(TRIM(CLEAN(Raw_Data!L56))="","",IFERROR(MIN(100,MAX(0,VALUE(SUBSTITUTE(TRIM(CLEAN(Raw_Data!L56)),"%",""))))/100,0))</f>
        <v/>
      </c>
      <c r="M56" s="16">
        <f>IFERROR(IF(Raw_Data!M56="","",VALUE(Raw_Data!M56)),"")</f>
        <v>21.7</v>
      </c>
      <c r="N56" s="16">
        <f>IFERROR(IF(Raw_Data!N56="","",VALUE(Raw_Data!N56)),"")</f>
        <v>0</v>
      </c>
      <c r="O56" s="16">
        <f t="shared" si="1"/>
        <v>-21.7</v>
      </c>
      <c r="P56" s="2" t="str">
        <f>TRIM(CLEAN(Raw_Data!P56))</f>
        <v>Waiting on approval</v>
      </c>
    </row>
    <row r="57" spans="1:16" x14ac:dyDescent="0.3">
      <c r="A57" s="5" t="str">
        <f>TRIM(CLEAN(Raw_Data!A57))</f>
        <v>TSK-0056</v>
      </c>
      <c r="B57" s="5" t="str">
        <f>TRIM(CLEAN(Raw_Data!B57))</f>
        <v>Product Launch</v>
      </c>
      <c r="C57" s="5" t="str">
        <f>IFERROR(VLOOKUP(TRIM(CLEAN(Raw_Data!C57)),Lookup_Lists!$G:$H,2,FALSE()),TRIM(CLEAN(Raw_Data!C57)))</f>
        <v>Operations</v>
      </c>
      <c r="D57" s="5" t="str">
        <f>TRIM(CLEAN(Raw_Data!D57))</f>
        <v>Priya Patel</v>
      </c>
      <c r="E57" s="5" t="str">
        <f>IFERROR(VLOOKUP(TRIM(CLEAN(Raw_Data!E57)),Lookup_Lists!$M:$N,2,FALSE()),TRIM(CLEAN(Raw_Data!E57)))</f>
        <v>Manager</v>
      </c>
      <c r="F57" s="5" t="str">
        <f>IFERROR(VLOOKUP(TRIM(CLEAN(Raw_Data!F57)),Lookup_Lists!$A:$B,2,FALSE()),TRIM(CLEAN(Raw_Data!F57)))</f>
        <v>Low</v>
      </c>
      <c r="G57" s="5" t="str">
        <f>IFERROR(VLOOKUP(TRIM(CLEAN(Raw_Data!G57)),Lookup_Lists!$J:$K,2,FALSE()),TRIM(CLEAN(Raw_Data!G57)))</f>
        <v>Testing</v>
      </c>
      <c r="H57" s="13">
        <f>IF(Raw_Data!H57="","",Raw_Data!H57)</f>
        <v>45432</v>
      </c>
      <c r="I57" s="13">
        <f>IF(Raw_Data!I57="","",Raw_Data!I57)</f>
        <v>45489</v>
      </c>
      <c r="J57" s="13" t="str">
        <f>IF(Raw_Data!J57="","",Raw_Data!J57)</f>
        <v/>
      </c>
      <c r="K57" s="5" t="str">
        <f>IFERROR(VLOOKUP(TRIM(CLEAN(Raw_Data!K57)),Lookup_Lists!$D:$E,2,FALSE()),TRIM(CLEAN(Raw_Data!K57)))</f>
        <v>In Progress</v>
      </c>
      <c r="L57" s="17">
        <f>IF(TRIM(CLEAN(Raw_Data!L57))="","",IFERROR(MIN(100,MAX(0,VALUE(SUBSTITUTE(TRIM(CLEAN(Raw_Data!L57)),"%",""))))/100,0))</f>
        <v>0.4</v>
      </c>
      <c r="M57" s="18">
        <f>IFERROR(IF(Raw_Data!M57="","",VALUE(Raw_Data!M57)),"")</f>
        <v>49.2</v>
      </c>
      <c r="N57" s="18">
        <f>IFERROR(IF(Raw_Data!N57="","",VALUE(Raw_Data!N57)),"")</f>
        <v>40.9</v>
      </c>
      <c r="O57" s="18">
        <f t="shared" si="1"/>
        <v>-8.3000000000000043</v>
      </c>
      <c r="P57" s="5" t="str">
        <f>TRIM(CLEAN(Raw_Data!P57))</f>
        <v/>
      </c>
    </row>
    <row r="58" spans="1:16" x14ac:dyDescent="0.3">
      <c r="A58" s="2" t="str">
        <f>TRIM(CLEAN(Raw_Data!A58))</f>
        <v>TSK-0057</v>
      </c>
      <c r="B58" s="2" t="str">
        <f>TRIM(CLEAN(Raw_Data!B58))</f>
        <v>Data Analytics Platform</v>
      </c>
      <c r="C58" s="2" t="str">
        <f>IFERROR(VLOOKUP(TRIM(CLEAN(Raw_Data!C58)),Lookup_Lists!$G:$H,2,FALSE()),TRIM(CLEAN(Raw_Data!C58)))</f>
        <v>HR</v>
      </c>
      <c r="D58" s="2" t="str">
        <f>TRIM(CLEAN(Raw_Data!D58))</f>
        <v>Pooja Reddy</v>
      </c>
      <c r="E58" s="2" t="str">
        <f>IFERROR(VLOOKUP(TRIM(CLEAN(Raw_Data!E58)),Lookup_Lists!$M:$N,2,FALSE()),TRIM(CLEAN(Raw_Data!E58)))</f>
        <v>Tester</v>
      </c>
      <c r="F58" s="2" t="str">
        <f>IFERROR(VLOOKUP(TRIM(CLEAN(Raw_Data!F58)),Lookup_Lists!$A:$B,2,FALSE()),TRIM(CLEAN(Raw_Data!F58)))</f>
        <v>Medium</v>
      </c>
      <c r="G58" s="2" t="str">
        <f>IFERROR(VLOOKUP(TRIM(CLEAN(Raw_Data!G58)),Lookup_Lists!$J:$K,2,FALSE()),TRIM(CLEAN(Raw_Data!G58)))</f>
        <v>Deployment</v>
      </c>
      <c r="H58" s="10">
        <f>IF(Raw_Data!H58="","",Raw_Data!H58)</f>
        <v>45572</v>
      </c>
      <c r="I58" s="10">
        <f>IF(Raw_Data!I58="","",Raw_Data!I58)</f>
        <v>45608</v>
      </c>
      <c r="J58" s="10" t="str">
        <f>IF(Raw_Data!J58="","",Raw_Data!J58)</f>
        <v/>
      </c>
      <c r="K58" s="2" t="str">
        <f>IFERROR(VLOOKUP(TRIM(CLEAN(Raw_Data!K58)),Lookup_Lists!$D:$E,2,FALSE()),TRIM(CLEAN(Raw_Data!K58)))</f>
        <v>On Hold</v>
      </c>
      <c r="L58" s="15" t="str">
        <f>IF(TRIM(CLEAN(Raw_Data!L58))="","",IFERROR(MIN(100,MAX(0,VALUE(SUBSTITUTE(TRIM(CLEAN(Raw_Data!L58)),"%",""))))/100,0))</f>
        <v/>
      </c>
      <c r="M58" s="16">
        <f>IFERROR(IF(Raw_Data!M58="","",VALUE(Raw_Data!M58)),"")</f>
        <v>7</v>
      </c>
      <c r="N58" s="16">
        <f>IFERROR(IF(Raw_Data!N58="","",VALUE(Raw_Data!N58)),"")</f>
        <v>0</v>
      </c>
      <c r="O58" s="16">
        <f t="shared" si="1"/>
        <v>-7</v>
      </c>
      <c r="P58" s="2" t="str">
        <f>TRIM(CLEAN(Raw_Data!P58))</f>
        <v>escalated to management</v>
      </c>
    </row>
    <row r="59" spans="1:16" x14ac:dyDescent="0.3">
      <c r="A59" s="5" t="str">
        <f>TRIM(CLEAN(Raw_Data!A59))</f>
        <v>TSK-0058</v>
      </c>
      <c r="B59" s="5" t="str">
        <f>TRIM(CLEAN(Raw_Data!B59))</f>
        <v>Mobile App v2</v>
      </c>
      <c r="C59" s="5" t="str">
        <f>IFERROR(VLOOKUP(TRIM(CLEAN(Raw_Data!C59)),Lookup_Lists!$G:$H,2,FALSE()),TRIM(CLEAN(Raw_Data!C59)))</f>
        <v>HR</v>
      </c>
      <c r="D59" s="5" t="str">
        <f>TRIM(CLEAN(Raw_Data!D59))</f>
        <v>Rahul Sharma</v>
      </c>
      <c r="E59" s="5" t="str">
        <f>IFERROR(VLOOKUP(TRIM(CLEAN(Raw_Data!E59)),Lookup_Lists!$M:$N,2,FALSE()),TRIM(CLEAN(Raw_Data!E59)))</f>
        <v>Analyst</v>
      </c>
      <c r="F59" s="5" t="str">
        <f>IFERROR(VLOOKUP(TRIM(CLEAN(Raw_Data!F59)),Lookup_Lists!$A:$B,2,FALSE()),TRIM(CLEAN(Raw_Data!F59)))</f>
        <v>High</v>
      </c>
      <c r="G59" s="5" t="str">
        <f>IFERROR(VLOOKUP(TRIM(CLEAN(Raw_Data!G59)),Lookup_Lists!$J:$K,2,FALSE()),TRIM(CLEAN(Raw_Data!G59)))</f>
        <v>Development</v>
      </c>
      <c r="H59" s="13">
        <f>IF(Raw_Data!H59="","",Raw_Data!H59)</f>
        <v>45687</v>
      </c>
      <c r="I59" s="13">
        <f>IF(Raw_Data!I59="","",Raw_Data!I59)</f>
        <v>45735</v>
      </c>
      <c r="J59" s="13" t="str">
        <f>IF(Raw_Data!J59="","",Raw_Data!J59)</f>
        <v/>
      </c>
      <c r="K59" s="5" t="str">
        <f>IFERROR(VLOOKUP(TRIM(CLEAN(Raw_Data!K59)),Lookup_Lists!$D:$E,2,FALSE()),TRIM(CLEAN(Raw_Data!K59)))</f>
        <v>Not Started</v>
      </c>
      <c r="L59" s="17" t="str">
        <f>IF(TRIM(CLEAN(Raw_Data!L59))="","",IFERROR(MIN(100,MAX(0,VALUE(SUBSTITUTE(TRIM(CLEAN(Raw_Data!L59)),"%",""))))/100,0))</f>
        <v/>
      </c>
      <c r="M59" s="18">
        <f>IFERROR(IF(Raw_Data!M59="","",VALUE(Raw_Data!M59)),"")</f>
        <v>7.1</v>
      </c>
      <c r="N59" s="18" t="str">
        <f>IFERROR(IF(Raw_Data!N59="","",VALUE(Raw_Data!N59)),"")</f>
        <v/>
      </c>
      <c r="O59" s="18" t="str">
        <f t="shared" si="1"/>
        <v/>
      </c>
      <c r="P59" s="5" t="str">
        <f>TRIM(CLEAN(Raw_Data!P59))</f>
        <v/>
      </c>
    </row>
    <row r="60" spans="1:16" x14ac:dyDescent="0.3">
      <c r="A60" s="2" t="str">
        <f>TRIM(CLEAN(Raw_Data!A60))</f>
        <v>TSK-0059</v>
      </c>
      <c r="B60" s="2" t="str">
        <f>TRIM(CLEAN(Raw_Data!B60))</f>
        <v>Data Analytics Platform</v>
      </c>
      <c r="C60" s="2" t="str">
        <f>IFERROR(VLOOKUP(TRIM(CLEAN(Raw_Data!C60)),Lookup_Lists!$G:$H,2,FALSE()),TRIM(CLEAN(Raw_Data!C60)))</f>
        <v>HR</v>
      </c>
      <c r="D60" s="2" t="str">
        <f>TRIM(CLEAN(Raw_Data!D60))</f>
        <v>Amit Verma</v>
      </c>
      <c r="E60" s="2" t="str">
        <f>IFERROR(VLOOKUP(TRIM(CLEAN(Raw_Data!E60)),Lookup_Lists!$M:$N,2,FALSE()),TRIM(CLEAN(Raw_Data!E60)))</f>
        <v>Coordinator</v>
      </c>
      <c r="F60" s="2" t="str">
        <f>IFERROR(VLOOKUP(TRIM(CLEAN(Raw_Data!F60)),Lookup_Lists!$A:$B,2,FALSE()),TRIM(CLEAN(Raw_Data!F60)))</f>
        <v>Low</v>
      </c>
      <c r="G60" s="2" t="str">
        <f>IFERROR(VLOOKUP(TRIM(CLEAN(Raw_Data!G60)),Lookup_Lists!$J:$K,2,FALSE()),TRIM(CLEAN(Raw_Data!G60)))</f>
        <v>Deployment</v>
      </c>
      <c r="H60" s="10">
        <f>IF(Raw_Data!H60="","",Raw_Data!H60)</f>
        <v>45342</v>
      </c>
      <c r="I60" s="10">
        <f>IF(Raw_Data!I60="","",Raw_Data!I60)</f>
        <v>45377</v>
      </c>
      <c r="J60" s="10" t="str">
        <f>IF(Raw_Data!J60="","",Raw_Data!J60)</f>
        <v/>
      </c>
      <c r="K60" s="2" t="str">
        <f>IFERROR(VLOOKUP(TRIM(CLEAN(Raw_Data!K60)),Lookup_Lists!$D:$E,2,FALSE()),TRIM(CLEAN(Raw_Data!K60)))</f>
        <v>Not Started</v>
      </c>
      <c r="L60" s="15" t="str">
        <f>IF(TRIM(CLEAN(Raw_Data!L60))="","",IFERROR(MIN(100,MAX(0,VALUE(SUBSTITUTE(TRIM(CLEAN(Raw_Data!L60)),"%",""))))/100,0))</f>
        <v/>
      </c>
      <c r="M60" s="16">
        <f>IFERROR(IF(Raw_Data!M60="","",VALUE(Raw_Data!M60)),"")</f>
        <v>29.3</v>
      </c>
      <c r="N60" s="16" t="str">
        <f>IFERROR(IF(Raw_Data!N60="","",VALUE(Raw_Data!N60)),"")</f>
        <v/>
      </c>
      <c r="O60" s="16" t="str">
        <f t="shared" si="1"/>
        <v/>
      </c>
      <c r="P60" s="2" t="str">
        <f>TRIM(CLEAN(Raw_Data!P60))</f>
        <v>Delayed due to dependency</v>
      </c>
    </row>
    <row r="61" spans="1:16" x14ac:dyDescent="0.3">
      <c r="A61" s="5" t="str">
        <f>TRIM(CLEAN(Raw_Data!A61))</f>
        <v>TSK-0060</v>
      </c>
      <c r="B61" s="5" t="str">
        <f>TRIM(CLEAN(Raw_Data!B61))</f>
        <v>IT Infrastructure</v>
      </c>
      <c r="C61" s="5" t="str">
        <f>IFERROR(VLOOKUP(TRIM(CLEAN(Raw_Data!C61)),Lookup_Lists!$G:$H,2,FALSE()),TRIM(CLEAN(Raw_Data!C61)))</f>
        <v>Operations</v>
      </c>
      <c r="D61" s="5" t="str">
        <f>TRIM(CLEAN(Raw_Data!D61))</f>
        <v>Pooja Reddy</v>
      </c>
      <c r="E61" s="5" t="str">
        <f>IFERROR(VLOOKUP(TRIM(CLEAN(Raw_Data!E61)),Lookup_Lists!$M:$N,2,FALSE()),TRIM(CLEAN(Raw_Data!E61)))</f>
        <v>Lead</v>
      </c>
      <c r="F61" s="5" t="str">
        <f>IFERROR(VLOOKUP(TRIM(CLEAN(Raw_Data!F61)),Lookup_Lists!$A:$B,2,FALSE()),TRIM(CLEAN(Raw_Data!F61)))</f>
        <v>Medium</v>
      </c>
      <c r="G61" s="5" t="str">
        <f>IFERROR(VLOOKUP(TRIM(CLEAN(Raw_Data!G61)),Lookup_Lists!$J:$K,2,FALSE()),TRIM(CLEAN(Raw_Data!G61)))</f>
        <v>Review</v>
      </c>
      <c r="H61" s="13">
        <f>IF(Raw_Data!H61="","",Raw_Data!H61)</f>
        <v>45685</v>
      </c>
      <c r="I61" s="13">
        <f>IF(Raw_Data!I61="","",Raw_Data!I61)</f>
        <v>45725</v>
      </c>
      <c r="J61" s="13">
        <f>IF(Raw_Data!J61="","",Raw_Data!J61)</f>
        <v>45729</v>
      </c>
      <c r="K61" s="5" t="str">
        <f>IFERROR(VLOOKUP(TRIM(CLEAN(Raw_Data!K61)),Lookup_Lists!$D:$E,2,FALSE()),TRIM(CLEAN(Raw_Data!K61)))</f>
        <v>Completed</v>
      </c>
      <c r="L61" s="17">
        <f>IF(TRIM(CLEAN(Raw_Data!L61))="","",IFERROR(MIN(100,MAX(0,VALUE(SUBSTITUTE(TRIM(CLEAN(Raw_Data!L61)),"%",""))))/100,0))</f>
        <v>1</v>
      </c>
      <c r="M61" s="18">
        <f>IFERROR(IF(Raw_Data!M61="","",VALUE(Raw_Data!M61)),"")</f>
        <v>27.9</v>
      </c>
      <c r="N61" s="18">
        <f>IFERROR(IF(Raw_Data!N61="","",VALUE(Raw_Data!N61)),"")</f>
        <v>25.8</v>
      </c>
      <c r="O61" s="18">
        <f t="shared" si="1"/>
        <v>-2.0999999999999979</v>
      </c>
      <c r="P61" s="5" t="str">
        <f>TRIM(CLEAN(Raw_Data!P61))</f>
        <v/>
      </c>
    </row>
    <row r="62" spans="1:16" x14ac:dyDescent="0.3">
      <c r="A62" s="2" t="str">
        <f>TRIM(CLEAN(Raw_Data!A62))</f>
        <v>TSK-0061</v>
      </c>
      <c r="B62" s="2" t="str">
        <f>TRIM(CLEAN(Raw_Data!B62))</f>
        <v>Website Redesign</v>
      </c>
      <c r="C62" s="2" t="str">
        <f>IFERROR(VLOOKUP(TRIM(CLEAN(Raw_Data!C62)),Lookup_Lists!$G:$H,2,FALSE()),TRIM(CLEAN(Raw_Data!C62)))</f>
        <v>Sales</v>
      </c>
      <c r="D62" s="2" t="str">
        <f>TRIM(CLEAN(Raw_Data!D62))</f>
        <v>Arjun Mehta</v>
      </c>
      <c r="E62" s="2" t="str">
        <f>IFERROR(VLOOKUP(TRIM(CLEAN(Raw_Data!E62)),Lookup_Lists!$M:$N,2,FALSE()),TRIM(CLEAN(Raw_Data!E62)))</f>
        <v>Analyst</v>
      </c>
      <c r="F62" s="2" t="str">
        <f>IFERROR(VLOOKUP(TRIM(CLEAN(Raw_Data!F62)),Lookup_Lists!$A:$B,2,FALSE()),TRIM(CLEAN(Raw_Data!F62)))</f>
        <v>High</v>
      </c>
      <c r="G62" s="2" t="str">
        <f>IFERROR(VLOOKUP(TRIM(CLEAN(Raw_Data!G62)),Lookup_Lists!$J:$K,2,FALSE()),TRIM(CLEAN(Raw_Data!G62)))</f>
        <v>Deployment</v>
      </c>
      <c r="H62" s="10">
        <f>IF(Raw_Data!H62="","",Raw_Data!H62)</f>
        <v>45481</v>
      </c>
      <c r="I62" s="10">
        <f>IF(Raw_Data!I62="","",Raw_Data!I62)</f>
        <v>45525</v>
      </c>
      <c r="J62" s="10" t="str">
        <f>IF(Raw_Data!J62="","",Raw_Data!J62)</f>
        <v/>
      </c>
      <c r="K62" s="2" t="str">
        <f>IFERROR(VLOOKUP(TRIM(CLEAN(Raw_Data!K62)),Lookup_Lists!$D:$E,2,FALSE()),TRIM(CLEAN(Raw_Data!K62)))</f>
        <v>Cancelled</v>
      </c>
      <c r="L62" s="15" t="str">
        <f>IF(TRIM(CLEAN(Raw_Data!L62))="","",IFERROR(MIN(100,MAX(0,VALUE(SUBSTITUTE(TRIM(CLEAN(Raw_Data!L62)),"%",""))))/100,0))</f>
        <v/>
      </c>
      <c r="M62" s="16">
        <f>IFERROR(IF(Raw_Data!M62="","",VALUE(Raw_Data!M62)),"")</f>
        <v>37.6</v>
      </c>
      <c r="N62" s="16" t="str">
        <f>IFERROR(IF(Raw_Data!N62="","",VALUE(Raw_Data!N62)),"")</f>
        <v/>
      </c>
      <c r="O62" s="16" t="str">
        <f t="shared" si="1"/>
        <v/>
      </c>
      <c r="P62" s="2" t="str">
        <f>TRIM(CLEAN(Raw_Data!P62))</f>
        <v>Almost done</v>
      </c>
    </row>
    <row r="63" spans="1:16" x14ac:dyDescent="0.3">
      <c r="A63" s="5" t="str">
        <f>TRIM(CLEAN(Raw_Data!A63))</f>
        <v>TSK-0062</v>
      </c>
      <c r="B63" s="5" t="str">
        <f>TRIM(CLEAN(Raw_Data!B63))</f>
        <v>Supply Chain Optimization</v>
      </c>
      <c r="C63" s="5" t="str">
        <f>IFERROR(VLOOKUP(TRIM(CLEAN(Raw_Data!C63)),Lookup_Lists!$G:$H,2,FALSE()),TRIM(CLEAN(Raw_Data!C63)))</f>
        <v>Finance</v>
      </c>
      <c r="D63" s="5" t="str">
        <f>TRIM(CLEAN(Raw_Data!D63))</f>
        <v>Karan Malhotra</v>
      </c>
      <c r="E63" s="5" t="str">
        <f>IFERROR(VLOOKUP(TRIM(CLEAN(Raw_Data!E63)),Lookup_Lists!$M:$N,2,FALSE()),TRIM(CLEAN(Raw_Data!E63)))</f>
        <v>Designer</v>
      </c>
      <c r="F63" s="5" t="str">
        <f>IFERROR(VLOOKUP(TRIM(CLEAN(Raw_Data!F63)),Lookup_Lists!$A:$B,2,FALSE()),TRIM(CLEAN(Raw_Data!F63)))</f>
        <v>Medium</v>
      </c>
      <c r="G63" s="5" t="str">
        <f>IFERROR(VLOOKUP(TRIM(CLEAN(Raw_Data!G63)),Lookup_Lists!$J:$K,2,FALSE()),TRIM(CLEAN(Raw_Data!G63)))</f>
        <v>Deployment</v>
      </c>
      <c r="H63" s="13">
        <f>IF(Raw_Data!H63="","",Raw_Data!H63)</f>
        <v>45358</v>
      </c>
      <c r="I63" s="13">
        <f>IF(Raw_Data!I63="","",Raw_Data!I63)</f>
        <v>45364</v>
      </c>
      <c r="J63" s="13" t="str">
        <f>IF(Raw_Data!J63="","",Raw_Data!J63)</f>
        <v/>
      </c>
      <c r="K63" s="5" t="str">
        <f>IFERROR(VLOOKUP(TRIM(CLEAN(Raw_Data!K63)),Lookup_Lists!$D:$E,2,FALSE()),TRIM(CLEAN(Raw_Data!K63)))</f>
        <v>In Progress</v>
      </c>
      <c r="L63" s="17">
        <f>IF(TRIM(CLEAN(Raw_Data!L63))="","",IFERROR(MIN(100,MAX(0,VALUE(SUBSTITUTE(TRIM(CLEAN(Raw_Data!L63)),"%",""))))/100,0))</f>
        <v>0.3</v>
      </c>
      <c r="M63" s="18">
        <f>IFERROR(IF(Raw_Data!M63="","",VALUE(Raw_Data!M63)),"")</f>
        <v>46</v>
      </c>
      <c r="N63" s="18" t="str">
        <f>IFERROR(IF(Raw_Data!N63="","",VALUE(Raw_Data!N63)),"")</f>
        <v/>
      </c>
      <c r="O63" s="18" t="str">
        <f t="shared" si="1"/>
        <v/>
      </c>
      <c r="P63" s="5" t="str">
        <f>TRIM(CLEAN(Raw_Data!P63))</f>
        <v>Delayed due to dependency</v>
      </c>
    </row>
    <row r="64" spans="1:16" x14ac:dyDescent="0.3">
      <c r="A64" s="2" t="str">
        <f>TRIM(CLEAN(Raw_Data!A64))</f>
        <v>TSK-0063</v>
      </c>
      <c r="B64" s="2" t="str">
        <f>TRIM(CLEAN(Raw_Data!B64))</f>
        <v>CRM Migration</v>
      </c>
      <c r="C64" s="2" t="str">
        <f>IFERROR(VLOOKUP(TRIM(CLEAN(Raw_Data!C64)),Lookup_Lists!$G:$H,2,FALSE()),TRIM(CLEAN(Raw_Data!C64)))</f>
        <v>Finance</v>
      </c>
      <c r="D64" s="2" t="str">
        <f>TRIM(CLEAN(Raw_Data!D64))</f>
        <v>Kavita Rao</v>
      </c>
      <c r="E64" s="2" t="str">
        <f>IFERROR(VLOOKUP(TRIM(CLEAN(Raw_Data!E64)),Lookup_Lists!$M:$N,2,FALSE()),TRIM(CLEAN(Raw_Data!E64)))</f>
        <v>Designer</v>
      </c>
      <c r="F64" s="2" t="str">
        <f>IFERROR(VLOOKUP(TRIM(CLEAN(Raw_Data!F64)),Lookup_Lists!$A:$B,2,FALSE()),TRIM(CLEAN(Raw_Data!F64)))</f>
        <v>Low</v>
      </c>
      <c r="G64" s="2" t="str">
        <f>IFERROR(VLOOKUP(TRIM(CLEAN(Raw_Data!G64)),Lookup_Lists!$J:$K,2,FALSE()),TRIM(CLEAN(Raw_Data!G64)))</f>
        <v>Research</v>
      </c>
      <c r="H64" s="10">
        <f>IF(Raw_Data!H64="","",Raw_Data!H64)</f>
        <v>45508</v>
      </c>
      <c r="I64" s="10">
        <f>IF(Raw_Data!I64="","",Raw_Data!I64)</f>
        <v>45566</v>
      </c>
      <c r="J64" s="10" t="str">
        <f>IF(Raw_Data!J64="","",Raw_Data!J64)</f>
        <v/>
      </c>
      <c r="K64" s="2" t="str">
        <f>IFERROR(VLOOKUP(TRIM(CLEAN(Raw_Data!K64)),Lookup_Lists!$D:$E,2,FALSE()),TRIM(CLEAN(Raw_Data!K64)))</f>
        <v>Cancelled</v>
      </c>
      <c r="L64" s="15" t="str">
        <f>IF(TRIM(CLEAN(Raw_Data!L64))="","",IFERROR(MIN(100,MAX(0,VALUE(SUBSTITUTE(TRIM(CLEAN(Raw_Data!L64)),"%",""))))/100,0))</f>
        <v/>
      </c>
      <c r="M64" s="16">
        <f>IFERROR(IF(Raw_Data!M64="","",VALUE(Raw_Data!M64)),"")</f>
        <v>22.5</v>
      </c>
      <c r="N64" s="16" t="str">
        <f>IFERROR(IF(Raw_Data!N64="","",VALUE(Raw_Data!N64)),"")</f>
        <v/>
      </c>
      <c r="O64" s="16" t="str">
        <f t="shared" si="1"/>
        <v/>
      </c>
      <c r="P64" s="2" t="str">
        <f>TRIM(CLEAN(Raw_Data!P64))</f>
        <v>Blocked by vendor</v>
      </c>
    </row>
    <row r="65" spans="1:16" x14ac:dyDescent="0.3">
      <c r="A65" s="5" t="str">
        <f>TRIM(CLEAN(Raw_Data!A65))</f>
        <v>TSK-0064</v>
      </c>
      <c r="B65" s="5" t="str">
        <f>TRIM(CLEAN(Raw_Data!B65))</f>
        <v>Product Launch</v>
      </c>
      <c r="C65" s="5" t="str">
        <f>IFERROR(VLOOKUP(TRIM(CLEAN(Raw_Data!C65)),Lookup_Lists!$G:$H,2,FALSE()),TRIM(CLEAN(Raw_Data!C65)))</f>
        <v>Sales</v>
      </c>
      <c r="D65" s="5" t="str">
        <f>TRIM(CLEAN(Raw_Data!D65))</f>
        <v>Pooja Reddy</v>
      </c>
      <c r="E65" s="5" t="str">
        <f>IFERROR(VLOOKUP(TRIM(CLEAN(Raw_Data!E65)),Lookup_Lists!$M:$N,2,FALSE()),TRIM(CLEAN(Raw_Data!E65)))</f>
        <v>Developer</v>
      </c>
      <c r="F65" s="5" t="str">
        <f>IFERROR(VLOOKUP(TRIM(CLEAN(Raw_Data!F65)),Lookup_Lists!$A:$B,2,FALSE()),TRIM(CLEAN(Raw_Data!F65)))</f>
        <v>Critical</v>
      </c>
      <c r="G65" s="5" t="str">
        <f>IFERROR(VLOOKUP(TRIM(CLEAN(Raw_Data!G65)),Lookup_Lists!$J:$K,2,FALSE()),TRIM(CLEAN(Raw_Data!G65)))</f>
        <v>Development</v>
      </c>
      <c r="H65" s="13">
        <f>IF(Raw_Data!H65="","",Raw_Data!H65)</f>
        <v>45437</v>
      </c>
      <c r="I65" s="13">
        <f>IF(Raw_Data!I65="","",Raw_Data!I65)</f>
        <v>45491</v>
      </c>
      <c r="J65" s="13" t="str">
        <f>IF(Raw_Data!J65="","",Raw_Data!J65)</f>
        <v/>
      </c>
      <c r="K65" s="5" t="str">
        <f>IFERROR(VLOOKUP(TRIM(CLEAN(Raw_Data!K65)),Lookup_Lists!$D:$E,2,FALSE()),TRIM(CLEAN(Raw_Data!K65)))</f>
        <v>On Hold</v>
      </c>
      <c r="L65" s="17" t="str">
        <f>IF(TRIM(CLEAN(Raw_Data!L65))="","",IFERROR(MIN(100,MAX(0,VALUE(SUBSTITUTE(TRIM(CLEAN(Raw_Data!L65)),"%",""))))/100,0))</f>
        <v/>
      </c>
      <c r="M65" s="18">
        <f>IFERROR(IF(Raw_Data!M65="","",VALUE(Raw_Data!M65)),"")</f>
        <v>24.3</v>
      </c>
      <c r="N65" s="18" t="str">
        <f>IFERROR(IF(Raw_Data!N65="","",VALUE(Raw_Data!N65)),"")</f>
        <v/>
      </c>
      <c r="O65" s="18" t="str">
        <f t="shared" si="1"/>
        <v/>
      </c>
      <c r="P65" s="5" t="str">
        <f>TRIM(CLEAN(Raw_Data!P65))</f>
        <v>Scope changed mid-sprint</v>
      </c>
    </row>
    <row r="66" spans="1:16" x14ac:dyDescent="0.3">
      <c r="A66" s="2" t="str">
        <f>TRIM(CLEAN(Raw_Data!A66))</f>
        <v>TSK-0065</v>
      </c>
      <c r="B66" s="2" t="str">
        <f>TRIM(CLEAN(Raw_Data!B66))</f>
        <v>Mobile App v2</v>
      </c>
      <c r="C66" s="2" t="str">
        <f>IFERROR(VLOOKUP(TRIM(CLEAN(Raw_Data!C66)),Lookup_Lists!$G:$H,2,FALSE()),TRIM(CLEAN(Raw_Data!C66)))</f>
        <v>Sales</v>
      </c>
      <c r="D66" s="2" t="str">
        <f>TRIM(CLEAN(Raw_Data!D66))</f>
        <v>Meera Thakur</v>
      </c>
      <c r="E66" s="2" t="str">
        <f>IFERROR(VLOOKUP(TRIM(CLEAN(Raw_Data!E66)),Lookup_Lists!$M:$N,2,FALSE()),TRIM(CLEAN(Raw_Data!E66)))</f>
        <v>Developer</v>
      </c>
      <c r="F66" s="2" t="str">
        <f>IFERROR(VLOOKUP(TRIM(CLEAN(Raw_Data!F66)),Lookup_Lists!$A:$B,2,FALSE()),TRIM(CLEAN(Raw_Data!F66)))</f>
        <v>Medium</v>
      </c>
      <c r="G66" s="2" t="str">
        <f>IFERROR(VLOOKUP(TRIM(CLEAN(Raw_Data!G66)),Lookup_Lists!$J:$K,2,FALSE()),TRIM(CLEAN(Raw_Data!G66)))</f>
        <v>Deployment</v>
      </c>
      <c r="H66" s="10">
        <f>IF(Raw_Data!H66="","",Raw_Data!H66)</f>
        <v>45472</v>
      </c>
      <c r="I66" s="10">
        <f>IF(Raw_Data!I66="","",Raw_Data!I66)</f>
        <v>45498</v>
      </c>
      <c r="J66" s="10" t="str">
        <f>IF(Raw_Data!J66="","",Raw_Data!J66)</f>
        <v/>
      </c>
      <c r="K66" s="2" t="str">
        <f>IFERROR(VLOOKUP(TRIM(CLEAN(Raw_Data!K66)),Lookup_Lists!$D:$E,2,FALSE()),TRIM(CLEAN(Raw_Data!K66)))</f>
        <v>On Hold</v>
      </c>
      <c r="L66" s="15" t="str">
        <f>IF(TRIM(CLEAN(Raw_Data!L66))="","",IFERROR(MIN(100,MAX(0,VALUE(SUBSTITUTE(TRIM(CLEAN(Raw_Data!L66)),"%",""))))/100,0))</f>
        <v/>
      </c>
      <c r="M66" s="16">
        <f>IFERROR(IF(Raw_Data!M66="","",VALUE(Raw_Data!M66)),"")</f>
        <v>70.099999999999994</v>
      </c>
      <c r="N66" s="16" t="str">
        <f>IFERROR(IF(Raw_Data!N66="","",VALUE(Raw_Data!N66)),"")</f>
        <v/>
      </c>
      <c r="O66" s="16" t="str">
        <f t="shared" ref="O66:O97" si="2">IFERROR(IF(AND(N66&lt;&gt;"",M66&lt;&gt;""),N66-M66,""),"")</f>
        <v/>
      </c>
      <c r="P66" s="2" t="str">
        <f>TRIM(CLEAN(Raw_Data!P66))</f>
        <v>Needs QA sign-off</v>
      </c>
    </row>
    <row r="67" spans="1:16" x14ac:dyDescent="0.3">
      <c r="A67" s="5" t="str">
        <f>TRIM(CLEAN(Raw_Data!A67))</f>
        <v>TSK-0066</v>
      </c>
      <c r="B67" s="5" t="str">
        <f>TRIM(CLEAN(Raw_Data!B67))</f>
        <v>Marketing Campaign</v>
      </c>
      <c r="C67" s="5" t="str">
        <f>IFERROR(VLOOKUP(TRIM(CLEAN(Raw_Data!C67)),Lookup_Lists!$G:$H,2,FALSE()),TRIM(CLEAN(Raw_Data!C67)))</f>
        <v>Marketing</v>
      </c>
      <c r="D67" s="5" t="str">
        <f>TRIM(CLEAN(Raw_Data!D67))</f>
        <v>Meera Thakur</v>
      </c>
      <c r="E67" s="5" t="str">
        <f>IFERROR(VLOOKUP(TRIM(CLEAN(Raw_Data!E67)),Lookup_Lists!$M:$N,2,FALSE()),TRIM(CLEAN(Raw_Data!E67)))</f>
        <v>Coordinator</v>
      </c>
      <c r="F67" s="5" t="str">
        <f>IFERROR(VLOOKUP(TRIM(CLEAN(Raw_Data!F67)),Lookup_Lists!$A:$B,2,FALSE()),TRIM(CLEAN(Raw_Data!F67)))</f>
        <v>High</v>
      </c>
      <c r="G67" s="5" t="str">
        <f>IFERROR(VLOOKUP(TRIM(CLEAN(Raw_Data!G67)),Lookup_Lists!$J:$K,2,FALSE()),TRIM(CLEAN(Raw_Data!G67)))</f>
        <v>Planning</v>
      </c>
      <c r="H67" s="13">
        <f>IF(Raw_Data!H67="","",Raw_Data!H67)</f>
        <v>45677</v>
      </c>
      <c r="I67" s="13">
        <f>IF(Raw_Data!I67="","",Raw_Data!I67)</f>
        <v>45712</v>
      </c>
      <c r="J67" s="13" t="str">
        <f>IF(Raw_Data!J67="","",Raw_Data!J67)</f>
        <v/>
      </c>
      <c r="K67" s="5" t="str">
        <f>IFERROR(VLOOKUP(TRIM(CLEAN(Raw_Data!K67)),Lookup_Lists!$D:$E,2,FALSE()),TRIM(CLEAN(Raw_Data!K67)))</f>
        <v>On Hold</v>
      </c>
      <c r="L67" s="17" t="str">
        <f>IF(TRIM(CLEAN(Raw_Data!L67))="","",IFERROR(MIN(100,MAX(0,VALUE(SUBSTITUTE(TRIM(CLEAN(Raw_Data!L67)),"%",""))))/100,0))</f>
        <v/>
      </c>
      <c r="M67" s="18">
        <f>IFERROR(IF(Raw_Data!M67="","",VALUE(Raw_Data!M67)),"")</f>
        <v>64.2</v>
      </c>
      <c r="N67" s="18" t="str">
        <f>IFERROR(IF(Raw_Data!N67="","",VALUE(Raw_Data!N67)),"")</f>
        <v/>
      </c>
      <c r="O67" s="18" t="str">
        <f t="shared" si="2"/>
        <v/>
      </c>
      <c r="P67" s="5" t="str">
        <f>TRIM(CLEAN(Raw_Data!P67))</f>
        <v>Blocked by vendor</v>
      </c>
    </row>
    <row r="68" spans="1:16" x14ac:dyDescent="0.3">
      <c r="A68" s="2" t="str">
        <f>TRIM(CLEAN(Raw_Data!A68))</f>
        <v>TSK-0067</v>
      </c>
      <c r="B68" s="2" t="str">
        <f>TRIM(CLEAN(Raw_Data!B68))</f>
        <v>Website Redesign</v>
      </c>
      <c r="C68" s="2" t="str">
        <f>IFERROR(VLOOKUP(TRIM(CLEAN(Raw_Data!C68)),Lookup_Lists!$G:$H,2,FALSE()),TRIM(CLEAN(Raw_Data!C68)))</f>
        <v>Finance</v>
      </c>
      <c r="D68" s="2" t="str">
        <f>TRIM(CLEAN(Raw_Data!D68))</f>
        <v>Deepak Nair</v>
      </c>
      <c r="E68" s="2" t="str">
        <f>IFERROR(VLOOKUP(TRIM(CLEAN(Raw_Data!E68)),Lookup_Lists!$M:$N,2,FALSE()),TRIM(CLEAN(Raw_Data!E68)))</f>
        <v>Designer</v>
      </c>
      <c r="F68" s="2" t="str">
        <f>IFERROR(VLOOKUP(TRIM(CLEAN(Raw_Data!F68)),Lookup_Lists!$A:$B,2,FALSE()),TRIM(CLEAN(Raw_Data!F68)))</f>
        <v>Critical</v>
      </c>
      <c r="G68" s="2" t="str">
        <f>IFERROR(VLOOKUP(TRIM(CLEAN(Raw_Data!G68)),Lookup_Lists!$J:$K,2,FALSE()),TRIM(CLEAN(Raw_Data!G68)))</f>
        <v>Testing</v>
      </c>
      <c r="H68" s="10">
        <f>IF(Raw_Data!H68="","",Raw_Data!H68)</f>
        <v>45521</v>
      </c>
      <c r="I68" s="10">
        <f>IF(Raw_Data!I68="","",Raw_Data!I68)</f>
        <v>45532</v>
      </c>
      <c r="J68" s="10" t="str">
        <f>IF(Raw_Data!J68="","",Raw_Data!J68)</f>
        <v/>
      </c>
      <c r="K68" s="2" t="str">
        <f>IFERROR(VLOOKUP(TRIM(CLEAN(Raw_Data!K68)),Lookup_Lists!$D:$E,2,FALSE()),TRIM(CLEAN(Raw_Data!K68)))</f>
        <v>Cancelled</v>
      </c>
      <c r="L68" s="15" t="str">
        <f>IF(TRIM(CLEAN(Raw_Data!L68))="","",IFERROR(MIN(100,MAX(0,VALUE(SUBSTITUTE(TRIM(CLEAN(Raw_Data!L68)),"%",""))))/100,0))</f>
        <v/>
      </c>
      <c r="M68" s="16">
        <f>IFERROR(IF(Raw_Data!M68="","",VALUE(Raw_Data!M68)),"")</f>
        <v>5.2</v>
      </c>
      <c r="N68" s="16" t="str">
        <f>IFERROR(IF(Raw_Data!N68="","",VALUE(Raw_Data!N68)),"")</f>
        <v/>
      </c>
      <c r="O68" s="16" t="str">
        <f t="shared" si="2"/>
        <v/>
      </c>
      <c r="P68" s="2" t="str">
        <f>TRIM(CLEAN(Raw_Data!P68))</f>
        <v/>
      </c>
    </row>
    <row r="69" spans="1:16" x14ac:dyDescent="0.3">
      <c r="A69" s="5" t="str">
        <f>TRIM(CLEAN(Raw_Data!A69))</f>
        <v>TSK-0068</v>
      </c>
      <c r="B69" s="5" t="str">
        <f>TRIM(CLEAN(Raw_Data!B69))</f>
        <v>CRM Migration</v>
      </c>
      <c r="C69" s="5" t="str">
        <f>IFERROR(VLOOKUP(TRIM(CLEAN(Raw_Data!C69)),Lookup_Lists!$G:$H,2,FALSE()),TRIM(CLEAN(Raw_Data!C69)))</f>
        <v>Sales</v>
      </c>
      <c r="D69" s="5" t="str">
        <f>TRIM(CLEAN(Raw_Data!D69))</f>
        <v>Sanjay Kulkarni</v>
      </c>
      <c r="E69" s="5" t="str">
        <f>IFERROR(VLOOKUP(TRIM(CLEAN(Raw_Data!E69)),Lookup_Lists!$M:$N,2,FALSE()),TRIM(CLEAN(Raw_Data!E69)))</f>
        <v>Manager</v>
      </c>
      <c r="F69" s="5" t="str">
        <f>IFERROR(VLOOKUP(TRIM(CLEAN(Raw_Data!F69)),Lookup_Lists!$A:$B,2,FALSE()),TRIM(CLEAN(Raw_Data!F69)))</f>
        <v>Medium</v>
      </c>
      <c r="G69" s="5" t="str">
        <f>IFERROR(VLOOKUP(TRIM(CLEAN(Raw_Data!G69)),Lookup_Lists!$J:$K,2,FALSE()),TRIM(CLEAN(Raw_Data!G69)))</f>
        <v>Review</v>
      </c>
      <c r="H69" s="13">
        <f>IF(Raw_Data!H69="","",Raw_Data!H69)</f>
        <v>45628</v>
      </c>
      <c r="I69" s="13">
        <f>IF(Raw_Data!I69="","",Raw_Data!I69)</f>
        <v>45638</v>
      </c>
      <c r="J69" s="13" t="str">
        <f>IF(Raw_Data!J69="","",Raw_Data!J69)</f>
        <v/>
      </c>
      <c r="K69" s="5" t="str">
        <f>IFERROR(VLOOKUP(TRIM(CLEAN(Raw_Data!K69)),Lookup_Lists!$D:$E,2,FALSE()),TRIM(CLEAN(Raw_Data!K69)))</f>
        <v>Not Started</v>
      </c>
      <c r="L69" s="17" t="str">
        <f>IF(TRIM(CLEAN(Raw_Data!L69))="","",IFERROR(MIN(100,MAX(0,VALUE(SUBSTITUTE(TRIM(CLEAN(Raw_Data!L69)),"%",""))))/100,0))</f>
        <v/>
      </c>
      <c r="M69" s="18">
        <f>IFERROR(IF(Raw_Data!M69="","",VALUE(Raw_Data!M69)),"")</f>
        <v>32.9</v>
      </c>
      <c r="N69" s="18">
        <f>IFERROR(IF(Raw_Data!N69="","",VALUE(Raw_Data!N69)),"")</f>
        <v>0</v>
      </c>
      <c r="O69" s="18">
        <f t="shared" si="2"/>
        <v>-32.9</v>
      </c>
      <c r="P69" s="5" t="str">
        <f>TRIM(CLEAN(Raw_Data!P69))</f>
        <v>Waiting on approval</v>
      </c>
    </row>
    <row r="70" spans="1:16" x14ac:dyDescent="0.3">
      <c r="A70" s="2" t="str">
        <f>TRIM(CLEAN(Raw_Data!A70))</f>
        <v>TSK-0069</v>
      </c>
      <c r="B70" s="2" t="str">
        <f>TRIM(CLEAN(Raw_Data!B70))</f>
        <v>Supply Chain Optimization</v>
      </c>
      <c r="C70" s="2" t="str">
        <f>IFERROR(VLOOKUP(TRIM(CLEAN(Raw_Data!C70)),Lookup_Lists!$G:$H,2,FALSE()),TRIM(CLEAN(Raw_Data!C70)))</f>
        <v>IT</v>
      </c>
      <c r="D70" s="2" t="str">
        <f>TRIM(CLEAN(Raw_Data!D70))</f>
        <v>Ananya Das</v>
      </c>
      <c r="E70" s="2" t="str">
        <f>IFERROR(VLOOKUP(TRIM(CLEAN(Raw_Data!E70)),Lookup_Lists!$M:$N,2,FALSE()),TRIM(CLEAN(Raw_Data!E70)))</f>
        <v>Analyst</v>
      </c>
      <c r="F70" s="2" t="str">
        <f>IFERROR(VLOOKUP(TRIM(CLEAN(Raw_Data!F70)),Lookup_Lists!$A:$B,2,FALSE()),TRIM(CLEAN(Raw_Data!F70)))</f>
        <v>High</v>
      </c>
      <c r="G70" s="2" t="str">
        <f>IFERROR(VLOOKUP(TRIM(CLEAN(Raw_Data!G70)),Lookup_Lists!$J:$K,2,FALSE()),TRIM(CLEAN(Raw_Data!G70)))</f>
        <v>Planning</v>
      </c>
      <c r="H70" s="10">
        <f>IF(Raw_Data!H70="","",Raw_Data!H70)</f>
        <v>45412</v>
      </c>
      <c r="I70" s="10">
        <f>IF(Raw_Data!I70="","",Raw_Data!I70)</f>
        <v>45464</v>
      </c>
      <c r="J70" s="10">
        <f>IF(Raw_Data!J70="","",Raw_Data!J70)</f>
        <v>45467</v>
      </c>
      <c r="K70" s="2" t="str">
        <f>IFERROR(VLOOKUP(TRIM(CLEAN(Raw_Data!K70)),Lookup_Lists!$D:$E,2,FALSE()),TRIM(CLEAN(Raw_Data!K70)))</f>
        <v>Completed</v>
      </c>
      <c r="L70" s="15">
        <f>IF(TRIM(CLEAN(Raw_Data!L70))="","",IFERROR(MIN(100,MAX(0,VALUE(SUBSTITUTE(TRIM(CLEAN(Raw_Data!L70)),"%",""))))/100,0))</f>
        <v>1</v>
      </c>
      <c r="M70" s="16">
        <f>IFERROR(IF(Raw_Data!M70="","",VALUE(Raw_Data!M70)),"")</f>
        <v>61.8</v>
      </c>
      <c r="N70" s="16">
        <f>IFERROR(IF(Raw_Data!N70="","",VALUE(Raw_Data!N70)),"")</f>
        <v>75</v>
      </c>
      <c r="O70" s="16">
        <f t="shared" si="2"/>
        <v>13.200000000000003</v>
      </c>
      <c r="P70" s="2" t="str">
        <f>TRIM(CLEAN(Raw_Data!P70))</f>
        <v>Delayed due to dependency</v>
      </c>
    </row>
    <row r="71" spans="1:16" x14ac:dyDescent="0.3">
      <c r="A71" s="5" t="str">
        <f>TRIM(CLEAN(Raw_Data!A71))</f>
        <v>TSK-0070</v>
      </c>
      <c r="B71" s="5" t="str">
        <f>TRIM(CLEAN(Raw_Data!B71))</f>
        <v>Employee Onboarding</v>
      </c>
      <c r="C71" s="5" t="str">
        <f>IFERROR(VLOOKUP(TRIM(CLEAN(Raw_Data!C71)),Lookup_Lists!$G:$H,2,FALSE()),TRIM(CLEAN(Raw_Data!C71)))</f>
        <v>IT</v>
      </c>
      <c r="D71" s="5" t="str">
        <f>TRIM(CLEAN(Raw_Data!D71))</f>
        <v>Rahul Sharma</v>
      </c>
      <c r="E71" s="5" t="str">
        <f>IFERROR(VLOOKUP(TRIM(CLEAN(Raw_Data!E71)),Lookup_Lists!$M:$N,2,FALSE()),TRIM(CLEAN(Raw_Data!E71)))</f>
        <v>Designer</v>
      </c>
      <c r="F71" s="5" t="str">
        <f>IFERROR(VLOOKUP(TRIM(CLEAN(Raw_Data!F71)),Lookup_Lists!$A:$B,2,FALSE()),TRIM(CLEAN(Raw_Data!F71)))</f>
        <v>Critical</v>
      </c>
      <c r="G71" s="5" t="str">
        <f>IFERROR(VLOOKUP(TRIM(CLEAN(Raw_Data!G71)),Lookup_Lists!$J:$K,2,FALSE()),TRIM(CLEAN(Raw_Data!G71)))</f>
        <v>Development</v>
      </c>
      <c r="H71" s="13">
        <f>IF(Raw_Data!H71="","",Raw_Data!H71)</f>
        <v>45446</v>
      </c>
      <c r="I71" s="13">
        <f>IF(Raw_Data!I71="","",Raw_Data!I71)</f>
        <v>45473</v>
      </c>
      <c r="J71" s="13" t="str">
        <f>IF(Raw_Data!J71="","",Raw_Data!J71)</f>
        <v/>
      </c>
      <c r="K71" s="5" t="str">
        <f>IFERROR(VLOOKUP(TRIM(CLEAN(Raw_Data!K71)),Lookup_Lists!$D:$E,2,FALSE()),TRIM(CLEAN(Raw_Data!K71)))</f>
        <v>Not Started</v>
      </c>
      <c r="L71" s="17" t="str">
        <f>IF(TRIM(CLEAN(Raw_Data!L71))="","",IFERROR(MIN(100,MAX(0,VALUE(SUBSTITUTE(TRIM(CLEAN(Raw_Data!L71)),"%",""))))/100,0))</f>
        <v/>
      </c>
      <c r="M71" s="18">
        <f>IFERROR(IF(Raw_Data!M71="","",VALUE(Raw_Data!M71)),"")</f>
        <v>15.1</v>
      </c>
      <c r="N71" s="18" t="str">
        <f>IFERROR(IF(Raw_Data!N71="","",VALUE(Raw_Data!N71)),"")</f>
        <v/>
      </c>
      <c r="O71" s="18" t="str">
        <f t="shared" si="2"/>
        <v/>
      </c>
      <c r="P71" s="5" t="str">
        <f>TRIM(CLEAN(Raw_Data!P71))</f>
        <v/>
      </c>
    </row>
    <row r="72" spans="1:16" x14ac:dyDescent="0.3">
      <c r="A72" s="2" t="str">
        <f>TRIM(CLEAN(Raw_Data!A72))</f>
        <v>TSK-0071</v>
      </c>
      <c r="B72" s="2" t="str">
        <f>TRIM(CLEAN(Raw_Data!B72))</f>
        <v>Annual Audit</v>
      </c>
      <c r="C72" s="2" t="str">
        <f>IFERROR(VLOOKUP(TRIM(CLEAN(Raw_Data!C72)),Lookup_Lists!$G:$H,2,FALSE()),TRIM(CLEAN(Raw_Data!C72)))</f>
        <v>Finance</v>
      </c>
      <c r="D72" s="2" t="str">
        <f>TRIM(CLEAN(Raw_Data!D72))</f>
        <v>Amit Verma</v>
      </c>
      <c r="E72" s="2" t="str">
        <f>IFERROR(VLOOKUP(TRIM(CLEAN(Raw_Data!E72)),Lookup_Lists!$M:$N,2,FALSE()),TRIM(CLEAN(Raw_Data!E72)))</f>
        <v>Analyst</v>
      </c>
      <c r="F72" s="2" t="str">
        <f>IFERROR(VLOOKUP(TRIM(CLEAN(Raw_Data!F72)),Lookup_Lists!$A:$B,2,FALSE()),TRIM(CLEAN(Raw_Data!F72)))</f>
        <v>Low</v>
      </c>
      <c r="G72" s="2" t="str">
        <f>IFERROR(VLOOKUP(TRIM(CLEAN(Raw_Data!G72)),Lookup_Lists!$J:$K,2,FALSE()),TRIM(CLEAN(Raw_Data!G72)))</f>
        <v>Review</v>
      </c>
      <c r="H72" s="10">
        <f>IF(Raw_Data!H72="","",Raw_Data!H72)</f>
        <v>45613</v>
      </c>
      <c r="I72" s="10">
        <f>IF(Raw_Data!I72="","",Raw_Data!I72)</f>
        <v>45661</v>
      </c>
      <c r="J72" s="10" t="str">
        <f>IF(Raw_Data!J72="","",Raw_Data!J72)</f>
        <v/>
      </c>
      <c r="K72" s="2" t="str">
        <f>IFERROR(VLOOKUP(TRIM(CLEAN(Raw_Data!K72)),Lookup_Lists!$D:$E,2,FALSE()),TRIM(CLEAN(Raw_Data!K72)))</f>
        <v>In Progress</v>
      </c>
      <c r="L72" s="15">
        <f>IF(TRIM(CLEAN(Raw_Data!L72))="","",IFERROR(MIN(100,MAX(0,VALUE(SUBSTITUTE(TRIM(CLEAN(Raw_Data!L72)),"%",""))))/100,0))</f>
        <v>0.78</v>
      </c>
      <c r="M72" s="16">
        <f>IFERROR(IF(Raw_Data!M72="","",VALUE(Raw_Data!M72)),"")</f>
        <v>21.6</v>
      </c>
      <c r="N72" s="16">
        <f>IFERROR(IF(Raw_Data!N72="","",VALUE(Raw_Data!N72)),"")</f>
        <v>10</v>
      </c>
      <c r="O72" s="16">
        <f t="shared" si="2"/>
        <v>-11.600000000000001</v>
      </c>
      <c r="P72" s="2" t="str">
        <f>TRIM(CLEAN(Raw_Data!P72))</f>
        <v>final review stage</v>
      </c>
    </row>
    <row r="73" spans="1:16" x14ac:dyDescent="0.3">
      <c r="A73" s="5" t="str">
        <f>TRIM(CLEAN(Raw_Data!A73))</f>
        <v>TSK-0072</v>
      </c>
      <c r="B73" s="5" t="str">
        <f>TRIM(CLEAN(Raw_Data!B73))</f>
        <v>Data Analytics Platform</v>
      </c>
      <c r="C73" s="5" t="str">
        <f>IFERROR(VLOOKUP(TRIM(CLEAN(Raw_Data!C73)),Lookup_Lists!$G:$H,2,FALSE()),TRIM(CLEAN(Raw_Data!C73)))</f>
        <v>HR</v>
      </c>
      <c r="D73" s="5" t="str">
        <f>TRIM(CLEAN(Raw_Data!D73))</f>
        <v>Rohan Iyer</v>
      </c>
      <c r="E73" s="5" t="str">
        <f>IFERROR(VLOOKUP(TRIM(CLEAN(Raw_Data!E73)),Lookup_Lists!$M:$N,2,FALSE()),TRIM(CLEAN(Raw_Data!E73)))</f>
        <v>Developer</v>
      </c>
      <c r="F73" s="5" t="str">
        <f>IFERROR(VLOOKUP(TRIM(CLEAN(Raw_Data!F73)),Lookup_Lists!$A:$B,2,FALSE()),TRIM(CLEAN(Raw_Data!F73)))</f>
        <v>High</v>
      </c>
      <c r="G73" s="5" t="str">
        <f>IFERROR(VLOOKUP(TRIM(CLEAN(Raw_Data!G73)),Lookup_Lists!$J:$K,2,FALSE()),TRIM(CLEAN(Raw_Data!G73)))</f>
        <v>Documentation</v>
      </c>
      <c r="H73" s="13">
        <f>IF(Raw_Data!H73="","",Raw_Data!H73)</f>
        <v>45472</v>
      </c>
      <c r="I73" s="13">
        <f>IF(Raw_Data!I73="","",Raw_Data!I73)</f>
        <v>45514</v>
      </c>
      <c r="J73" s="13" t="str">
        <f>IF(Raw_Data!J73="","",Raw_Data!J73)</f>
        <v/>
      </c>
      <c r="K73" s="5" t="str">
        <f>IFERROR(VLOOKUP(TRIM(CLEAN(Raw_Data!K73)),Lookup_Lists!$D:$E,2,FALSE()),TRIM(CLEAN(Raw_Data!K73)))</f>
        <v>Not Started</v>
      </c>
      <c r="L73" s="17" t="str">
        <f>IF(TRIM(CLEAN(Raw_Data!L73))="","",IFERROR(MIN(100,MAX(0,VALUE(SUBSTITUTE(TRIM(CLEAN(Raw_Data!L73)),"%",""))))/100,0))</f>
        <v/>
      </c>
      <c r="M73" s="18">
        <f>IFERROR(IF(Raw_Data!M73="","",VALUE(Raw_Data!M73)),"")</f>
        <v>56.5</v>
      </c>
      <c r="N73" s="18">
        <f>IFERROR(IF(Raw_Data!N73="","",VALUE(Raw_Data!N73)),"")</f>
        <v>0</v>
      </c>
      <c r="O73" s="18">
        <f t="shared" si="2"/>
        <v>-56.5</v>
      </c>
      <c r="P73" s="5" t="str">
        <f>TRIM(CLEAN(Raw_Data!P73))</f>
        <v>Scope changed mid-sprint</v>
      </c>
    </row>
    <row r="74" spans="1:16" x14ac:dyDescent="0.3">
      <c r="A74" s="2" t="str">
        <f>TRIM(CLEAN(Raw_Data!A74))</f>
        <v>TSK-0073</v>
      </c>
      <c r="B74" s="2" t="str">
        <f>TRIM(CLEAN(Raw_Data!B74))</f>
        <v>Marketing Campaign</v>
      </c>
      <c r="C74" s="2" t="str">
        <f>IFERROR(VLOOKUP(TRIM(CLEAN(Raw_Data!C74)),Lookup_Lists!$G:$H,2,FALSE()),TRIM(CLEAN(Raw_Data!C74)))</f>
        <v>Sales</v>
      </c>
      <c r="D74" s="2" t="str">
        <f>TRIM(CLEAN(Raw_Data!D74))</f>
        <v>Priya Patel</v>
      </c>
      <c r="E74" s="2" t="str">
        <f>IFERROR(VLOOKUP(TRIM(CLEAN(Raw_Data!E74)),Lookup_Lists!$M:$N,2,FALSE()),TRIM(CLEAN(Raw_Data!E74)))</f>
        <v>Manager</v>
      </c>
      <c r="F74" s="2" t="str">
        <f>IFERROR(VLOOKUP(TRIM(CLEAN(Raw_Data!F74)),Lookup_Lists!$A:$B,2,FALSE()),TRIM(CLEAN(Raw_Data!F74)))</f>
        <v>Medium</v>
      </c>
      <c r="G74" s="2" t="str">
        <f>IFERROR(VLOOKUP(TRIM(CLEAN(Raw_Data!G74)),Lookup_Lists!$J:$K,2,FALSE()),TRIM(CLEAN(Raw_Data!G74)))</f>
        <v>Review</v>
      </c>
      <c r="H74" s="10">
        <f>IF(Raw_Data!H74="","",Raw_Data!H74)</f>
        <v>45590</v>
      </c>
      <c r="I74" s="10">
        <f>IF(Raw_Data!I74="","",Raw_Data!I74)</f>
        <v>45613</v>
      </c>
      <c r="J74" s="10" t="str">
        <f>IF(Raw_Data!J74="","",Raw_Data!J74)</f>
        <v/>
      </c>
      <c r="K74" s="2" t="str">
        <f>IFERROR(VLOOKUP(TRIM(CLEAN(Raw_Data!K74)),Lookup_Lists!$D:$E,2,FALSE()),TRIM(CLEAN(Raw_Data!K74)))</f>
        <v>Not Started</v>
      </c>
      <c r="L74" s="15">
        <f>IF(TRIM(CLEAN(Raw_Data!L74))="","",IFERROR(MIN(100,MAX(0,VALUE(SUBSTITUTE(TRIM(CLEAN(Raw_Data!L74)),"%",""))))/100,0))</f>
        <v>0</v>
      </c>
      <c r="M74" s="16">
        <f>IFERROR(IF(Raw_Data!M74="","",VALUE(Raw_Data!M74)),"")</f>
        <v>78.3</v>
      </c>
      <c r="N74" s="16" t="str">
        <f>IFERROR(IF(Raw_Data!N74="","",VALUE(Raw_Data!N74)),"")</f>
        <v/>
      </c>
      <c r="O74" s="16" t="str">
        <f t="shared" si="2"/>
        <v/>
      </c>
      <c r="P74" s="2" t="str">
        <f>TRIM(CLEAN(Raw_Data!P74))</f>
        <v/>
      </c>
    </row>
    <row r="75" spans="1:16" x14ac:dyDescent="0.3">
      <c r="A75" s="5" t="str">
        <f>TRIM(CLEAN(Raw_Data!A75))</f>
        <v>TSK-0074</v>
      </c>
      <c r="B75" s="5" t="str">
        <f>TRIM(CLEAN(Raw_Data!B75))</f>
        <v>Website Redesign</v>
      </c>
      <c r="C75" s="5" t="str">
        <f>IFERROR(VLOOKUP(TRIM(CLEAN(Raw_Data!C75)),Lookup_Lists!$G:$H,2,FALSE()),TRIM(CLEAN(Raw_Data!C75)))</f>
        <v>IT</v>
      </c>
      <c r="D75" s="5" t="str">
        <f>TRIM(CLEAN(Raw_Data!D75))</f>
        <v>Karan Malhotra</v>
      </c>
      <c r="E75" s="5" t="str">
        <f>IFERROR(VLOOKUP(TRIM(CLEAN(Raw_Data!E75)),Lookup_Lists!$M:$N,2,FALSE()),TRIM(CLEAN(Raw_Data!E75)))</f>
        <v>Lead</v>
      </c>
      <c r="F75" s="5" t="str">
        <f>IFERROR(VLOOKUP(TRIM(CLEAN(Raw_Data!F75)),Lookup_Lists!$A:$B,2,FALSE()),TRIM(CLEAN(Raw_Data!F75)))</f>
        <v>Critical</v>
      </c>
      <c r="G75" s="5" t="str">
        <f>IFERROR(VLOOKUP(TRIM(CLEAN(Raw_Data!G75)),Lookup_Lists!$J:$K,2,FALSE()),TRIM(CLEAN(Raw_Data!G75)))</f>
        <v>Planning</v>
      </c>
      <c r="H75" s="13">
        <f>IF(Raw_Data!H75="","",Raw_Data!H75)</f>
        <v>45693</v>
      </c>
      <c r="I75" s="13">
        <f>IF(Raw_Data!I75="","",Raw_Data!I75)</f>
        <v>45749</v>
      </c>
      <c r="J75" s="13" t="str">
        <f>IF(Raw_Data!J75="","",Raw_Data!J75)</f>
        <v/>
      </c>
      <c r="K75" s="5" t="str">
        <f>IFERROR(VLOOKUP(TRIM(CLEAN(Raw_Data!K75)),Lookup_Lists!$D:$E,2,FALSE()),TRIM(CLEAN(Raw_Data!K75)))</f>
        <v>In Progress</v>
      </c>
      <c r="L75" s="17">
        <f>IF(TRIM(CLEAN(Raw_Data!L75))="","",IFERROR(MIN(100,MAX(0,VALUE(SUBSTITUTE(TRIM(CLEAN(Raw_Data!L75)),"%",""))))/100,0))</f>
        <v>0.71</v>
      </c>
      <c r="M75" s="18">
        <f>IFERROR(IF(Raw_Data!M75="","",VALUE(Raw_Data!M75)),"")</f>
        <v>52.4</v>
      </c>
      <c r="N75" s="18">
        <f>IFERROR(IF(Raw_Data!N75="","",VALUE(Raw_Data!N75)),"")</f>
        <v>32.6</v>
      </c>
      <c r="O75" s="18">
        <f t="shared" si="2"/>
        <v>-19.799999999999997</v>
      </c>
      <c r="P75" s="5" t="str">
        <f>TRIM(CLEAN(Raw_Data!P75))</f>
        <v>escalated to management</v>
      </c>
    </row>
    <row r="76" spans="1:16" x14ac:dyDescent="0.3">
      <c r="A76" s="2" t="str">
        <f>TRIM(CLEAN(Raw_Data!A76))</f>
        <v>TSK-0075</v>
      </c>
      <c r="B76" s="2" t="str">
        <f>TRIM(CLEAN(Raw_Data!B76))</f>
        <v>CRM Migration</v>
      </c>
      <c r="C76" s="2" t="str">
        <f>IFERROR(VLOOKUP(TRIM(CLEAN(Raw_Data!C76)),Lookup_Lists!$G:$H,2,FALSE()),TRIM(CLEAN(Raw_Data!C76)))</f>
        <v>IT</v>
      </c>
      <c r="D76" s="2" t="str">
        <f>TRIM(CLEAN(Raw_Data!D76))</f>
        <v>Vikram Singh</v>
      </c>
      <c r="E76" s="2" t="str">
        <f>IFERROR(VLOOKUP(TRIM(CLEAN(Raw_Data!E76)),Lookup_Lists!$M:$N,2,FALSE()),TRIM(CLEAN(Raw_Data!E76)))</f>
        <v>Coordinator</v>
      </c>
      <c r="F76" s="2" t="str">
        <f>IFERROR(VLOOKUP(TRIM(CLEAN(Raw_Data!F76)),Lookup_Lists!$A:$B,2,FALSE()),TRIM(CLEAN(Raw_Data!F76)))</f>
        <v>High</v>
      </c>
      <c r="G76" s="2" t="str">
        <f>IFERROR(VLOOKUP(TRIM(CLEAN(Raw_Data!G76)),Lookup_Lists!$J:$K,2,FALSE()),TRIM(CLEAN(Raw_Data!G76)))</f>
        <v>Review</v>
      </c>
      <c r="H76" s="10">
        <f>IF(Raw_Data!H76="","",Raw_Data!H76)</f>
        <v>45670</v>
      </c>
      <c r="I76" s="10">
        <f>IF(Raw_Data!I76="","",Raw_Data!I76)</f>
        <v>45683</v>
      </c>
      <c r="J76" s="10">
        <f>IF(Raw_Data!J76="","",Raw_Data!J76)</f>
        <v>45682</v>
      </c>
      <c r="K76" s="2" t="str">
        <f>IFERROR(VLOOKUP(TRIM(CLEAN(Raw_Data!K76)),Lookup_Lists!$D:$E,2,FALSE()),TRIM(CLEAN(Raw_Data!K76)))</f>
        <v>Completed</v>
      </c>
      <c r="L76" s="15">
        <f>IF(TRIM(CLEAN(Raw_Data!L76))="","",IFERROR(MIN(100,MAX(0,VALUE(SUBSTITUTE(TRIM(CLEAN(Raw_Data!L76)),"%",""))))/100,0))</f>
        <v>1</v>
      </c>
      <c r="M76" s="16">
        <f>IFERROR(IF(Raw_Data!M76="","",VALUE(Raw_Data!M76)),"")</f>
        <v>60.8</v>
      </c>
      <c r="N76" s="16">
        <f>IFERROR(IF(Raw_Data!N76="","",VALUE(Raw_Data!N76)),"")</f>
        <v>52.8</v>
      </c>
      <c r="O76" s="16">
        <f t="shared" si="2"/>
        <v>-8</v>
      </c>
      <c r="P76" s="2" t="str">
        <f>TRIM(CLEAN(Raw_Data!P76))</f>
        <v>Blocked by vendor</v>
      </c>
    </row>
    <row r="77" spans="1:16" x14ac:dyDescent="0.3">
      <c r="A77" s="5" t="str">
        <f>TRIM(CLEAN(Raw_Data!A77))</f>
        <v>TSK-0076</v>
      </c>
      <c r="B77" s="5" t="str">
        <f>TRIM(CLEAN(Raw_Data!B77))</f>
        <v>Supply Chain Optimization</v>
      </c>
      <c r="C77" s="5" t="str">
        <f>IFERROR(VLOOKUP(TRIM(CLEAN(Raw_Data!C77)),Lookup_Lists!$G:$H,2,FALSE()),TRIM(CLEAN(Raw_Data!C77)))</f>
        <v>Sales</v>
      </c>
      <c r="D77" s="5" t="str">
        <f>TRIM(CLEAN(Raw_Data!D77))</f>
        <v>Karan Malhotra</v>
      </c>
      <c r="E77" s="5" t="str">
        <f>IFERROR(VLOOKUP(TRIM(CLEAN(Raw_Data!E77)),Lookup_Lists!$M:$N,2,FALSE()),TRIM(CLEAN(Raw_Data!E77)))</f>
        <v>Manager</v>
      </c>
      <c r="F77" s="5" t="str">
        <f>IFERROR(VLOOKUP(TRIM(CLEAN(Raw_Data!F77)),Lookup_Lists!$A:$B,2,FALSE()),TRIM(CLEAN(Raw_Data!F77)))</f>
        <v>Critical</v>
      </c>
      <c r="G77" s="5" t="str">
        <f>IFERROR(VLOOKUP(TRIM(CLEAN(Raw_Data!G77)),Lookup_Lists!$J:$K,2,FALSE()),TRIM(CLEAN(Raw_Data!G77)))</f>
        <v>Design</v>
      </c>
      <c r="H77" s="13">
        <f>IF(Raw_Data!H77="","",Raw_Data!H77)</f>
        <v>45427</v>
      </c>
      <c r="I77" s="13">
        <f>IF(Raw_Data!I77="","",Raw_Data!I77)</f>
        <v>45484</v>
      </c>
      <c r="J77" s="13" t="str">
        <f>IF(Raw_Data!J77="","",Raw_Data!J77)</f>
        <v/>
      </c>
      <c r="K77" s="5" t="str">
        <f>IFERROR(VLOOKUP(TRIM(CLEAN(Raw_Data!K77)),Lookup_Lists!$D:$E,2,FALSE()),TRIM(CLEAN(Raw_Data!K77)))</f>
        <v>Cancelled</v>
      </c>
      <c r="L77" s="17" t="str">
        <f>IF(TRIM(CLEAN(Raw_Data!L77))="","",IFERROR(MIN(100,MAX(0,VALUE(SUBSTITUTE(TRIM(CLEAN(Raw_Data!L77)),"%",""))))/100,0))</f>
        <v/>
      </c>
      <c r="M77" s="18">
        <f>IFERROR(IF(Raw_Data!M77="","",VALUE(Raw_Data!M77)),"")</f>
        <v>60.7</v>
      </c>
      <c r="N77" s="18">
        <f>IFERROR(IF(Raw_Data!N77="","",VALUE(Raw_Data!N77)),"")</f>
        <v>0</v>
      </c>
      <c r="O77" s="18">
        <f t="shared" si="2"/>
        <v>-60.7</v>
      </c>
      <c r="P77" s="5" t="str">
        <f>TRIM(CLEAN(Raw_Data!P77))</f>
        <v>Delayed due to dependency</v>
      </c>
    </row>
    <row r="78" spans="1:16" x14ac:dyDescent="0.3">
      <c r="A78" s="2" t="str">
        <f>TRIM(CLEAN(Raw_Data!A78))</f>
        <v>TSK-0077</v>
      </c>
      <c r="B78" s="2" t="str">
        <f>TRIM(CLEAN(Raw_Data!B78))</f>
        <v>CRM Migration</v>
      </c>
      <c r="C78" s="2" t="str">
        <f>IFERROR(VLOOKUP(TRIM(CLEAN(Raw_Data!C78)),Lookup_Lists!$G:$H,2,FALSE()),TRIM(CLEAN(Raw_Data!C78)))</f>
        <v>Finance</v>
      </c>
      <c r="D78" s="2" t="str">
        <f>TRIM(CLEAN(Raw_Data!D78))</f>
        <v>Sanjay Kulkarni</v>
      </c>
      <c r="E78" s="2" t="str">
        <f>IFERROR(VLOOKUP(TRIM(CLEAN(Raw_Data!E78)),Lookup_Lists!$M:$N,2,FALSE()),TRIM(CLEAN(Raw_Data!E78)))</f>
        <v>Manager</v>
      </c>
      <c r="F78" s="2" t="str">
        <f>IFERROR(VLOOKUP(TRIM(CLEAN(Raw_Data!F78)),Lookup_Lists!$A:$B,2,FALSE()),TRIM(CLEAN(Raw_Data!F78)))</f>
        <v>Critical</v>
      </c>
      <c r="G78" s="2" t="str">
        <f>IFERROR(VLOOKUP(TRIM(CLEAN(Raw_Data!G78)),Lookup_Lists!$J:$K,2,FALSE()),TRIM(CLEAN(Raw_Data!G78)))</f>
        <v>Review</v>
      </c>
      <c r="H78" s="10">
        <f>IF(Raw_Data!H78="","",Raw_Data!H78)</f>
        <v>45581</v>
      </c>
      <c r="I78" s="10">
        <f>IF(Raw_Data!I78="","",Raw_Data!I78)</f>
        <v>45609</v>
      </c>
      <c r="J78" s="10">
        <f>IF(Raw_Data!J78="","",Raw_Data!J78)</f>
        <v>45624</v>
      </c>
      <c r="K78" s="2" t="str">
        <f>IFERROR(VLOOKUP(TRIM(CLEAN(Raw_Data!K78)),Lookup_Lists!$D:$E,2,FALSE()),TRIM(CLEAN(Raw_Data!K78)))</f>
        <v>Completed</v>
      </c>
      <c r="L78" s="15">
        <f>IF(TRIM(CLEAN(Raw_Data!L78))="","",IFERROR(MIN(100,MAX(0,VALUE(SUBSTITUTE(TRIM(CLEAN(Raw_Data!L78)),"%",""))))/100,0))</f>
        <v>1</v>
      </c>
      <c r="M78" s="16">
        <f>IFERROR(IF(Raw_Data!M78="","",VALUE(Raw_Data!M78)),"")</f>
        <v>5.0999999999999996</v>
      </c>
      <c r="N78" s="16">
        <f>IFERROR(IF(Raw_Data!N78="","",VALUE(Raw_Data!N78)),"")</f>
        <v>11.6</v>
      </c>
      <c r="O78" s="16">
        <f t="shared" si="2"/>
        <v>6.5</v>
      </c>
      <c r="P78" s="2" t="str">
        <f>TRIM(CLEAN(Raw_Data!P78))</f>
        <v/>
      </c>
    </row>
    <row r="79" spans="1:16" x14ac:dyDescent="0.3">
      <c r="A79" s="5" t="str">
        <f>TRIM(CLEAN(Raw_Data!A79))</f>
        <v>TSK-0078</v>
      </c>
      <c r="B79" s="5" t="str">
        <f>TRIM(CLEAN(Raw_Data!B79))</f>
        <v>Mobile App v2</v>
      </c>
      <c r="C79" s="5" t="str">
        <f>IFERROR(VLOOKUP(TRIM(CLEAN(Raw_Data!C79)),Lookup_Lists!$G:$H,2,FALSE()),TRIM(CLEAN(Raw_Data!C79)))</f>
        <v>Operations</v>
      </c>
      <c r="D79" s="5" t="str">
        <f>TRIM(CLEAN(Raw_Data!D79))</f>
        <v>Meera Thakur</v>
      </c>
      <c r="E79" s="5" t="str">
        <f>IFERROR(VLOOKUP(TRIM(CLEAN(Raw_Data!E79)),Lookup_Lists!$M:$N,2,FALSE()),TRIM(CLEAN(Raw_Data!E79)))</f>
        <v>Tester</v>
      </c>
      <c r="F79" s="5" t="str">
        <f>IFERROR(VLOOKUP(TRIM(CLEAN(Raw_Data!F79)),Lookup_Lists!$A:$B,2,FALSE()),TRIM(CLEAN(Raw_Data!F79)))</f>
        <v>High</v>
      </c>
      <c r="G79" s="5" t="str">
        <f>IFERROR(VLOOKUP(TRIM(CLEAN(Raw_Data!G79)),Lookup_Lists!$J:$K,2,FALSE()),TRIM(CLEAN(Raw_Data!G79)))</f>
        <v>Research</v>
      </c>
      <c r="H79" s="13">
        <f>IF(Raw_Data!H79="","",Raw_Data!H79)</f>
        <v>45537</v>
      </c>
      <c r="I79" s="13">
        <f>IF(Raw_Data!I79="","",Raw_Data!I79)</f>
        <v>45543</v>
      </c>
      <c r="J79" s="13" t="str">
        <f>IF(Raw_Data!J79="","",Raw_Data!J79)</f>
        <v/>
      </c>
      <c r="K79" s="5" t="str">
        <f>IFERROR(VLOOKUP(TRIM(CLEAN(Raw_Data!K79)),Lookup_Lists!$D:$E,2,FALSE()),TRIM(CLEAN(Raw_Data!K79)))</f>
        <v>Not Started</v>
      </c>
      <c r="L79" s="17" t="str">
        <f>IF(TRIM(CLEAN(Raw_Data!L79))="","",IFERROR(MIN(100,MAX(0,VALUE(SUBSTITUTE(TRIM(CLEAN(Raw_Data!L79)),"%",""))))/100,0))</f>
        <v/>
      </c>
      <c r="M79" s="18">
        <f>IFERROR(IF(Raw_Data!M79="","",VALUE(Raw_Data!M79)),"")</f>
        <v>20.8</v>
      </c>
      <c r="N79" s="18" t="str">
        <f>IFERROR(IF(Raw_Data!N79="","",VALUE(Raw_Data!N79)),"")</f>
        <v/>
      </c>
      <c r="O79" s="18" t="str">
        <f t="shared" si="2"/>
        <v/>
      </c>
      <c r="P79" s="5" t="str">
        <f>TRIM(CLEAN(Raw_Data!P79))</f>
        <v>Waiting on approval</v>
      </c>
    </row>
    <row r="80" spans="1:16" x14ac:dyDescent="0.3">
      <c r="A80" s="2" t="str">
        <f>TRIM(CLEAN(Raw_Data!A80))</f>
        <v>TSK-0079</v>
      </c>
      <c r="B80" s="2" t="str">
        <f>TRIM(CLEAN(Raw_Data!B80))</f>
        <v>Employee Onboarding</v>
      </c>
      <c r="C80" s="2" t="str">
        <f>IFERROR(VLOOKUP(TRIM(CLEAN(Raw_Data!C80)),Lookup_Lists!$G:$H,2,FALSE()),TRIM(CLEAN(Raw_Data!C80)))</f>
        <v>Operations</v>
      </c>
      <c r="D80" s="2" t="str">
        <f>TRIM(CLEAN(Raw_Data!D80))</f>
        <v>Priya Patel</v>
      </c>
      <c r="E80" s="2" t="str">
        <f>IFERROR(VLOOKUP(TRIM(CLEAN(Raw_Data!E80)),Lookup_Lists!$M:$N,2,FALSE()),TRIM(CLEAN(Raw_Data!E80)))</f>
        <v>Developer</v>
      </c>
      <c r="F80" s="2" t="str">
        <f>IFERROR(VLOOKUP(TRIM(CLEAN(Raw_Data!F80)),Lookup_Lists!$A:$B,2,FALSE()),TRIM(CLEAN(Raw_Data!F80)))</f>
        <v>High</v>
      </c>
      <c r="G80" s="2" t="str">
        <f>IFERROR(VLOOKUP(TRIM(CLEAN(Raw_Data!G80)),Lookup_Lists!$J:$K,2,FALSE()),TRIM(CLEAN(Raw_Data!G80)))</f>
        <v>Development</v>
      </c>
      <c r="H80" s="10">
        <f>IF(Raw_Data!H80="","",Raw_Data!H80)</f>
        <v>45451</v>
      </c>
      <c r="I80" s="10">
        <f>IF(Raw_Data!I80="","",Raw_Data!I80)</f>
        <v>45487</v>
      </c>
      <c r="J80" s="10">
        <f>IF(Raw_Data!J80="","",Raw_Data!J80)</f>
        <v>45480</v>
      </c>
      <c r="K80" s="2" t="str">
        <f>IFERROR(VLOOKUP(TRIM(CLEAN(Raw_Data!K80)),Lookup_Lists!$D:$E,2,FALSE()),TRIM(CLEAN(Raw_Data!K80)))</f>
        <v>Completed</v>
      </c>
      <c r="L80" s="15">
        <f>IF(TRIM(CLEAN(Raw_Data!L80))="","",IFERROR(MIN(100,MAX(0,VALUE(SUBSTITUTE(TRIM(CLEAN(Raw_Data!L80)),"%",""))))/100,0))</f>
        <v>1</v>
      </c>
      <c r="M80" s="16">
        <f>IFERROR(IF(Raw_Data!M80="","",VALUE(Raw_Data!M80)),"")</f>
        <v>71.400000000000006</v>
      </c>
      <c r="N80" s="16">
        <f>IFERROR(IF(Raw_Data!N80="","",VALUE(Raw_Data!N80)),"")</f>
        <v>61.8</v>
      </c>
      <c r="O80" s="16">
        <f t="shared" si="2"/>
        <v>-9.6000000000000085</v>
      </c>
      <c r="P80" s="2" t="str">
        <f>TRIM(CLEAN(Raw_Data!P80))</f>
        <v/>
      </c>
    </row>
    <row r="81" spans="1:16" x14ac:dyDescent="0.3">
      <c r="A81" s="5" t="str">
        <f>TRIM(CLEAN(Raw_Data!A81))</f>
        <v>TSK-0080</v>
      </c>
      <c r="B81" s="5" t="str">
        <f>TRIM(CLEAN(Raw_Data!B81))</f>
        <v>Marketing Campaign</v>
      </c>
      <c r="C81" s="5" t="str">
        <f>IFERROR(VLOOKUP(TRIM(CLEAN(Raw_Data!C81)),Lookup_Lists!$G:$H,2,FALSE()),TRIM(CLEAN(Raw_Data!C81)))</f>
        <v>Finance</v>
      </c>
      <c r="D81" s="5" t="str">
        <f>TRIM(CLEAN(Raw_Data!D81))</f>
        <v>Karan Malhotra</v>
      </c>
      <c r="E81" s="5" t="str">
        <f>IFERROR(VLOOKUP(TRIM(CLEAN(Raw_Data!E81)),Lookup_Lists!$M:$N,2,FALSE()),TRIM(CLEAN(Raw_Data!E81)))</f>
        <v>Coordinator</v>
      </c>
      <c r="F81" s="5" t="str">
        <f>IFERROR(VLOOKUP(TRIM(CLEAN(Raw_Data!F81)),Lookup_Lists!$A:$B,2,FALSE()),TRIM(CLEAN(Raw_Data!F81)))</f>
        <v>Low</v>
      </c>
      <c r="G81" s="5" t="str">
        <f>IFERROR(VLOOKUP(TRIM(CLEAN(Raw_Data!G81)),Lookup_Lists!$J:$K,2,FALSE()),TRIM(CLEAN(Raw_Data!G81)))</f>
        <v>Testing</v>
      </c>
      <c r="H81" s="13">
        <f>IF(Raw_Data!H81="","",Raw_Data!H81)</f>
        <v>45546</v>
      </c>
      <c r="I81" s="13">
        <f>IF(Raw_Data!I81="","",Raw_Data!I81)</f>
        <v>45590</v>
      </c>
      <c r="J81" s="13" t="str">
        <f>IF(Raw_Data!J81="","",Raw_Data!J81)</f>
        <v/>
      </c>
      <c r="K81" s="5" t="str">
        <f>IFERROR(VLOOKUP(TRIM(CLEAN(Raw_Data!K81)),Lookup_Lists!$D:$E,2,FALSE()),TRIM(CLEAN(Raw_Data!K81)))</f>
        <v>On Hold</v>
      </c>
      <c r="L81" s="17">
        <f>IF(TRIM(CLEAN(Raw_Data!L81))="","",IFERROR(MIN(100,MAX(0,VALUE(SUBSTITUTE(TRIM(CLEAN(Raw_Data!L81)),"%",""))))/100,0))</f>
        <v>0.22</v>
      </c>
      <c r="M81" s="18">
        <f>IFERROR(IF(Raw_Data!M81="","",VALUE(Raw_Data!M81)),"")</f>
        <v>56.5</v>
      </c>
      <c r="N81" s="18" t="str">
        <f>IFERROR(IF(Raw_Data!N81="","",VALUE(Raw_Data!N81)),"")</f>
        <v/>
      </c>
      <c r="O81" s="18" t="str">
        <f t="shared" si="2"/>
        <v/>
      </c>
      <c r="P81" s="5" t="str">
        <f>TRIM(CLEAN(Raw_Data!P81))</f>
        <v/>
      </c>
    </row>
    <row r="82" spans="1:16" x14ac:dyDescent="0.3">
      <c r="A82" s="2" t="str">
        <f>TRIM(CLEAN(Raw_Data!A82))</f>
        <v>TSK-0081</v>
      </c>
      <c r="B82" s="2" t="str">
        <f>TRIM(CLEAN(Raw_Data!B82))</f>
        <v>Product Launch</v>
      </c>
      <c r="C82" s="2" t="str">
        <f>IFERROR(VLOOKUP(TRIM(CLEAN(Raw_Data!C82)),Lookup_Lists!$G:$H,2,FALSE()),TRIM(CLEAN(Raw_Data!C82)))</f>
        <v>Operations</v>
      </c>
      <c r="D82" s="2" t="str">
        <f>TRIM(CLEAN(Raw_Data!D82))</f>
        <v>Priya Patel</v>
      </c>
      <c r="E82" s="2" t="str">
        <f>IFERROR(VLOOKUP(TRIM(CLEAN(Raw_Data!E82)),Lookup_Lists!$M:$N,2,FALSE()),TRIM(CLEAN(Raw_Data!E82)))</f>
        <v>Tester</v>
      </c>
      <c r="F82" s="2" t="str">
        <f>IFERROR(VLOOKUP(TRIM(CLEAN(Raw_Data!F82)),Lookup_Lists!$A:$B,2,FALSE()),TRIM(CLEAN(Raw_Data!F82)))</f>
        <v>Low</v>
      </c>
      <c r="G82" s="2" t="str">
        <f>IFERROR(VLOOKUP(TRIM(CLEAN(Raw_Data!G82)),Lookup_Lists!$J:$K,2,FALSE()),TRIM(CLEAN(Raw_Data!G82)))</f>
        <v>Review</v>
      </c>
      <c r="H82" s="10">
        <f>IF(Raw_Data!H82="","",Raw_Data!H82)</f>
        <v>45327</v>
      </c>
      <c r="I82" s="10">
        <f>IF(Raw_Data!I82="","",Raw_Data!I82)</f>
        <v>45357</v>
      </c>
      <c r="J82" s="10" t="str">
        <f>IF(Raw_Data!J82="","",Raw_Data!J82)</f>
        <v/>
      </c>
      <c r="K82" s="2" t="str">
        <f>IFERROR(VLOOKUP(TRIM(CLEAN(Raw_Data!K82)),Lookup_Lists!$D:$E,2,FALSE()),TRIM(CLEAN(Raw_Data!K82)))</f>
        <v>Not Started</v>
      </c>
      <c r="L82" s="15">
        <f>IF(TRIM(CLEAN(Raw_Data!L82))="","",IFERROR(MIN(100,MAX(0,VALUE(SUBSTITUTE(TRIM(CLEAN(Raw_Data!L82)),"%",""))))/100,0))</f>
        <v>0</v>
      </c>
      <c r="M82" s="16">
        <f>IFERROR(IF(Raw_Data!M82="","",VALUE(Raw_Data!M82)),"")</f>
        <v>77.599999999999994</v>
      </c>
      <c r="N82" s="16">
        <f>IFERROR(IF(Raw_Data!N82="","",VALUE(Raw_Data!N82)),"")</f>
        <v>0</v>
      </c>
      <c r="O82" s="16">
        <f t="shared" si="2"/>
        <v>-77.599999999999994</v>
      </c>
      <c r="P82" s="2" t="str">
        <f>TRIM(CLEAN(Raw_Data!P82))</f>
        <v>On track</v>
      </c>
    </row>
    <row r="83" spans="1:16" x14ac:dyDescent="0.3">
      <c r="A83" s="5" t="str">
        <f>TRIM(CLEAN(Raw_Data!A83))</f>
        <v>TSK-0082</v>
      </c>
      <c r="B83" s="5" t="str">
        <f>TRIM(CLEAN(Raw_Data!B83))</f>
        <v>Mobile App v2</v>
      </c>
      <c r="C83" s="5" t="str">
        <f>IFERROR(VLOOKUP(TRIM(CLEAN(Raw_Data!C83)),Lookup_Lists!$G:$H,2,FALSE()),TRIM(CLEAN(Raw_Data!C83)))</f>
        <v>IT</v>
      </c>
      <c r="D83" s="5" t="str">
        <f>TRIM(CLEAN(Raw_Data!D83))</f>
        <v>Rahul Sharma</v>
      </c>
      <c r="E83" s="5" t="str">
        <f>IFERROR(VLOOKUP(TRIM(CLEAN(Raw_Data!E83)),Lookup_Lists!$M:$N,2,FALSE()),TRIM(CLEAN(Raw_Data!E83)))</f>
        <v>Designer</v>
      </c>
      <c r="F83" s="5" t="str">
        <f>IFERROR(VLOOKUP(TRIM(CLEAN(Raw_Data!F83)),Lookup_Lists!$A:$B,2,FALSE()),TRIM(CLEAN(Raw_Data!F83)))</f>
        <v>High</v>
      </c>
      <c r="G83" s="5" t="str">
        <f>IFERROR(VLOOKUP(TRIM(CLEAN(Raw_Data!G83)),Lookup_Lists!$J:$K,2,FALSE()),TRIM(CLEAN(Raw_Data!G83)))</f>
        <v>Testing</v>
      </c>
      <c r="H83" s="13">
        <f>IF(Raw_Data!H83="","",Raw_Data!H83)</f>
        <v>45585</v>
      </c>
      <c r="I83" s="13">
        <f>IF(Raw_Data!I83="","",Raw_Data!I83)</f>
        <v>45603</v>
      </c>
      <c r="J83" s="13">
        <f>IF(Raw_Data!J83="","",Raw_Data!J83)</f>
        <v>45617</v>
      </c>
      <c r="K83" s="5" t="str">
        <f>IFERROR(VLOOKUP(TRIM(CLEAN(Raw_Data!K83)),Lookup_Lists!$D:$E,2,FALSE()),TRIM(CLEAN(Raw_Data!K83)))</f>
        <v>Completed</v>
      </c>
      <c r="L83" s="17">
        <f>IF(TRIM(CLEAN(Raw_Data!L83))="","",IFERROR(MIN(100,MAX(0,VALUE(SUBSTITUTE(TRIM(CLEAN(Raw_Data!L83)),"%",""))))/100,0))</f>
        <v>1</v>
      </c>
      <c r="M83" s="18">
        <f>IFERROR(IF(Raw_Data!M83="","",VALUE(Raw_Data!M83)),"")</f>
        <v>19.7</v>
      </c>
      <c r="N83" s="18">
        <f>IFERROR(IF(Raw_Data!N83="","",VALUE(Raw_Data!N83)),"")</f>
        <v>13.3</v>
      </c>
      <c r="O83" s="18">
        <f t="shared" si="2"/>
        <v>-6.3999999999999986</v>
      </c>
      <c r="P83" s="5" t="str">
        <f>TRIM(CLEAN(Raw_Data!P83))</f>
        <v>Needs QA sign-off</v>
      </c>
    </row>
    <row r="84" spans="1:16" x14ac:dyDescent="0.3">
      <c r="A84" s="2" t="str">
        <f>TRIM(CLEAN(Raw_Data!A84))</f>
        <v>TSK-0083</v>
      </c>
      <c r="B84" s="2" t="str">
        <f>TRIM(CLEAN(Raw_Data!B84))</f>
        <v>Mobile App v2</v>
      </c>
      <c r="C84" s="2" t="str">
        <f>IFERROR(VLOOKUP(TRIM(CLEAN(Raw_Data!C84)),Lookup_Lists!$G:$H,2,FALSE()),TRIM(CLEAN(Raw_Data!C84)))</f>
        <v>IT</v>
      </c>
      <c r="D84" s="2" t="str">
        <f>TRIM(CLEAN(Raw_Data!D84))</f>
        <v>Vikram Singh</v>
      </c>
      <c r="E84" s="2" t="str">
        <f>IFERROR(VLOOKUP(TRIM(CLEAN(Raw_Data!E84)),Lookup_Lists!$M:$N,2,FALSE()),TRIM(CLEAN(Raw_Data!E84)))</f>
        <v>Developer</v>
      </c>
      <c r="F84" s="2" t="str">
        <f>IFERROR(VLOOKUP(TRIM(CLEAN(Raw_Data!F84)),Lookup_Lists!$A:$B,2,FALSE()),TRIM(CLEAN(Raw_Data!F84)))</f>
        <v>High</v>
      </c>
      <c r="G84" s="2" t="str">
        <f>IFERROR(VLOOKUP(TRIM(CLEAN(Raw_Data!G84)),Lookup_Lists!$J:$K,2,FALSE()),TRIM(CLEAN(Raw_Data!G84)))</f>
        <v>Research</v>
      </c>
      <c r="H84" s="10">
        <f>IF(Raw_Data!H84="","",Raw_Data!H84)</f>
        <v>45385</v>
      </c>
      <c r="I84" s="10">
        <f>IF(Raw_Data!I84="","",Raw_Data!I84)</f>
        <v>45397</v>
      </c>
      <c r="J84" s="10">
        <f>IF(Raw_Data!J84="","",Raw_Data!J84)</f>
        <v>45391</v>
      </c>
      <c r="K84" s="2" t="str">
        <f>IFERROR(VLOOKUP(TRIM(CLEAN(Raw_Data!K84)),Lookup_Lists!$D:$E,2,FALSE()),TRIM(CLEAN(Raw_Data!K84)))</f>
        <v>Completed</v>
      </c>
      <c r="L84" s="15">
        <f>IF(TRIM(CLEAN(Raw_Data!L84))="","",IFERROR(MIN(100,MAX(0,VALUE(SUBSTITUTE(TRIM(CLEAN(Raw_Data!L84)),"%",""))))/100,0))</f>
        <v>1</v>
      </c>
      <c r="M84" s="16">
        <f>IFERROR(IF(Raw_Data!M84="","",VALUE(Raw_Data!M84)),"")</f>
        <v>31.2</v>
      </c>
      <c r="N84" s="16">
        <f>IFERROR(IF(Raw_Data!N84="","",VALUE(Raw_Data!N84)),"")</f>
        <v>47.7</v>
      </c>
      <c r="O84" s="16">
        <f t="shared" si="2"/>
        <v>16.500000000000004</v>
      </c>
      <c r="P84" s="2" t="str">
        <f>TRIM(CLEAN(Raw_Data!P84))</f>
        <v>Dependencies unresolved</v>
      </c>
    </row>
    <row r="85" spans="1:16" x14ac:dyDescent="0.3">
      <c r="A85" s="5" t="str">
        <f>TRIM(CLEAN(Raw_Data!A85))</f>
        <v>TSK-0084</v>
      </c>
      <c r="B85" s="5" t="str">
        <f>TRIM(CLEAN(Raw_Data!B85))</f>
        <v>Annual Audit</v>
      </c>
      <c r="C85" s="5" t="str">
        <f>IFERROR(VLOOKUP(TRIM(CLEAN(Raw_Data!C85)),Lookup_Lists!$G:$H,2,FALSE()),TRIM(CLEAN(Raw_Data!C85)))</f>
        <v>HR</v>
      </c>
      <c r="D85" s="5" t="str">
        <f>TRIM(CLEAN(Raw_Data!D85))</f>
        <v>Rahul Sharma</v>
      </c>
      <c r="E85" s="5" t="str">
        <f>IFERROR(VLOOKUP(TRIM(CLEAN(Raw_Data!E85)),Lookup_Lists!$M:$N,2,FALSE()),TRIM(CLEAN(Raw_Data!E85)))</f>
        <v>Developer</v>
      </c>
      <c r="F85" s="5" t="str">
        <f>IFERROR(VLOOKUP(TRIM(CLEAN(Raw_Data!F85)),Lookup_Lists!$A:$B,2,FALSE()),TRIM(CLEAN(Raw_Data!F85)))</f>
        <v>Low</v>
      </c>
      <c r="G85" s="5" t="str">
        <f>IFERROR(VLOOKUP(TRIM(CLEAN(Raw_Data!G85)),Lookup_Lists!$J:$K,2,FALSE()),TRIM(CLEAN(Raw_Data!G85)))</f>
        <v>Documentation</v>
      </c>
      <c r="H85" s="13">
        <f>IF(Raw_Data!H85="","",Raw_Data!H85)</f>
        <v>45565</v>
      </c>
      <c r="I85" s="13">
        <f>IF(Raw_Data!I85="","",Raw_Data!I85)</f>
        <v>45577</v>
      </c>
      <c r="J85" s="13">
        <f>IF(Raw_Data!J85="","",Raw_Data!J85)</f>
        <v>45582</v>
      </c>
      <c r="K85" s="5" t="str">
        <f>IFERROR(VLOOKUP(TRIM(CLEAN(Raw_Data!K85)),Lookup_Lists!$D:$E,2,FALSE()),TRIM(CLEAN(Raw_Data!K85)))</f>
        <v>Completed</v>
      </c>
      <c r="L85" s="17">
        <f>IF(TRIM(CLEAN(Raw_Data!L85))="","",IFERROR(MIN(100,MAX(0,VALUE(SUBSTITUTE(TRIM(CLEAN(Raw_Data!L85)),"%",""))))/100,0))</f>
        <v>1</v>
      </c>
      <c r="M85" s="18">
        <f>IFERROR(IF(Raw_Data!M85="","",VALUE(Raw_Data!M85)),"")</f>
        <v>63.1</v>
      </c>
      <c r="N85" s="18">
        <f>IFERROR(IF(Raw_Data!N85="","",VALUE(Raw_Data!N85)),"")</f>
        <v>68.599999999999994</v>
      </c>
      <c r="O85" s="18">
        <f t="shared" si="2"/>
        <v>5.4999999999999929</v>
      </c>
      <c r="P85" s="5" t="str">
        <f>TRIM(CLEAN(Raw_Data!P85))</f>
        <v>Delayed due to dependency</v>
      </c>
    </row>
    <row r="86" spans="1:16" x14ac:dyDescent="0.3">
      <c r="A86" s="2" t="str">
        <f>TRIM(CLEAN(Raw_Data!A86))</f>
        <v>TSK-0085</v>
      </c>
      <c r="B86" s="2" t="str">
        <f>TRIM(CLEAN(Raw_Data!B86))</f>
        <v>Product Launch</v>
      </c>
      <c r="C86" s="2" t="str">
        <f>IFERROR(VLOOKUP(TRIM(CLEAN(Raw_Data!C86)),Lookup_Lists!$G:$H,2,FALSE()),TRIM(CLEAN(Raw_Data!C86)))</f>
        <v>IT</v>
      </c>
      <c r="D86" s="2" t="str">
        <f>TRIM(CLEAN(Raw_Data!D86))</f>
        <v>Pooja Reddy</v>
      </c>
      <c r="E86" s="2" t="str">
        <f>IFERROR(VLOOKUP(TRIM(CLEAN(Raw_Data!E86)),Lookup_Lists!$M:$N,2,FALSE()),TRIM(CLEAN(Raw_Data!E86)))</f>
        <v>Lead</v>
      </c>
      <c r="F86" s="2" t="str">
        <f>IFERROR(VLOOKUP(TRIM(CLEAN(Raw_Data!F86)),Lookup_Lists!$A:$B,2,FALSE()),TRIM(CLEAN(Raw_Data!F86)))</f>
        <v>Medium</v>
      </c>
      <c r="G86" s="2" t="str">
        <f>IFERROR(VLOOKUP(TRIM(CLEAN(Raw_Data!G86)),Lookup_Lists!$J:$K,2,FALSE()),TRIM(CLEAN(Raw_Data!G86)))</f>
        <v>Documentation</v>
      </c>
      <c r="H86" s="10">
        <f>IF(Raw_Data!H86="","",Raw_Data!H86)</f>
        <v>45625</v>
      </c>
      <c r="I86" s="10">
        <f>IF(Raw_Data!I86="","",Raw_Data!I86)</f>
        <v>45631</v>
      </c>
      <c r="J86" s="10">
        <f>IF(Raw_Data!J86="","",Raw_Data!J86)</f>
        <v>45636</v>
      </c>
      <c r="K86" s="2" t="str">
        <f>IFERROR(VLOOKUP(TRIM(CLEAN(Raw_Data!K86)),Lookup_Lists!$D:$E,2,FALSE()),TRIM(CLEAN(Raw_Data!K86)))</f>
        <v>Completed</v>
      </c>
      <c r="L86" s="15">
        <f>IF(TRIM(CLEAN(Raw_Data!L86))="","",IFERROR(MIN(100,MAX(0,VALUE(SUBSTITUTE(TRIM(CLEAN(Raw_Data!L86)),"%",""))))/100,0))</f>
        <v>1</v>
      </c>
      <c r="M86" s="16">
        <f>IFERROR(IF(Raw_Data!M86="","",VALUE(Raw_Data!M86)),"")</f>
        <v>36.4</v>
      </c>
      <c r="N86" s="16">
        <f>IFERROR(IF(Raw_Data!N86="","",VALUE(Raw_Data!N86)),"")</f>
        <v>25.7</v>
      </c>
      <c r="O86" s="16">
        <f t="shared" si="2"/>
        <v>-10.7</v>
      </c>
      <c r="P86" s="2" t="str">
        <f>TRIM(CLEAN(Raw_Data!P86))</f>
        <v>no blockers</v>
      </c>
    </row>
    <row r="87" spans="1:16" x14ac:dyDescent="0.3">
      <c r="A87" s="5" t="str">
        <f>TRIM(CLEAN(Raw_Data!A87))</f>
        <v>TSK-0086</v>
      </c>
      <c r="B87" s="5" t="str">
        <f>TRIM(CLEAN(Raw_Data!B87))</f>
        <v>CRM Migration</v>
      </c>
      <c r="C87" s="5" t="str">
        <f>IFERROR(VLOOKUP(TRIM(CLEAN(Raw_Data!C87)),Lookup_Lists!$G:$H,2,FALSE()),TRIM(CLEAN(Raw_Data!C87)))</f>
        <v>HR</v>
      </c>
      <c r="D87" s="5" t="str">
        <f>TRIM(CLEAN(Raw_Data!D87))</f>
        <v>Ananya Das</v>
      </c>
      <c r="E87" s="5" t="str">
        <f>IFERROR(VLOOKUP(TRIM(CLEAN(Raw_Data!E87)),Lookup_Lists!$M:$N,2,FALSE()),TRIM(CLEAN(Raw_Data!E87)))</f>
        <v>Developer</v>
      </c>
      <c r="F87" s="5" t="str">
        <f>IFERROR(VLOOKUP(TRIM(CLEAN(Raw_Data!F87)),Lookup_Lists!$A:$B,2,FALSE()),TRIM(CLEAN(Raw_Data!F87)))</f>
        <v>High</v>
      </c>
      <c r="G87" s="5" t="str">
        <f>IFERROR(VLOOKUP(TRIM(CLEAN(Raw_Data!G87)),Lookup_Lists!$J:$K,2,FALSE()),TRIM(CLEAN(Raw_Data!G87)))</f>
        <v>Testing</v>
      </c>
      <c r="H87" s="13">
        <f>IF(Raw_Data!H87="","",Raw_Data!H87)</f>
        <v>45436</v>
      </c>
      <c r="I87" s="13">
        <f>IF(Raw_Data!I87="","",Raw_Data!I87)</f>
        <v>45480</v>
      </c>
      <c r="J87" s="13" t="str">
        <f>IF(Raw_Data!J87="","",Raw_Data!J87)</f>
        <v/>
      </c>
      <c r="K87" s="5" t="str">
        <f>IFERROR(VLOOKUP(TRIM(CLEAN(Raw_Data!K87)),Lookup_Lists!$D:$E,2,FALSE()),TRIM(CLEAN(Raw_Data!K87)))</f>
        <v>Not Started</v>
      </c>
      <c r="L87" s="17" t="str">
        <f>IF(TRIM(CLEAN(Raw_Data!L87))="","",IFERROR(MIN(100,MAX(0,VALUE(SUBSTITUTE(TRIM(CLEAN(Raw_Data!L87)),"%",""))))/100,0))</f>
        <v/>
      </c>
      <c r="M87" s="18">
        <f>IFERROR(IF(Raw_Data!M87="","",VALUE(Raw_Data!M87)),"")</f>
        <v>79.599999999999994</v>
      </c>
      <c r="N87" s="18" t="str">
        <f>IFERROR(IF(Raw_Data!N87="","",VALUE(Raw_Data!N87)),"")</f>
        <v/>
      </c>
      <c r="O87" s="18" t="str">
        <f t="shared" si="2"/>
        <v/>
      </c>
      <c r="P87" s="5" t="str">
        <f>TRIM(CLEAN(Raw_Data!P87))</f>
        <v>Scope changed mid-sprint</v>
      </c>
    </row>
    <row r="88" spans="1:16" x14ac:dyDescent="0.3">
      <c r="A88" s="2" t="str">
        <f>TRIM(CLEAN(Raw_Data!A88))</f>
        <v>TSK-0087</v>
      </c>
      <c r="B88" s="2" t="str">
        <f>TRIM(CLEAN(Raw_Data!B88))</f>
        <v>Supply Chain Optimization</v>
      </c>
      <c r="C88" s="2" t="str">
        <f>IFERROR(VLOOKUP(TRIM(CLEAN(Raw_Data!C88)),Lookup_Lists!$G:$H,2,FALSE()),TRIM(CLEAN(Raw_Data!C88)))</f>
        <v>Operations</v>
      </c>
      <c r="D88" s="2" t="str">
        <f>TRIM(CLEAN(Raw_Data!D88))</f>
        <v>Priya Patel</v>
      </c>
      <c r="E88" s="2" t="str">
        <f>IFERROR(VLOOKUP(TRIM(CLEAN(Raw_Data!E88)),Lookup_Lists!$M:$N,2,FALSE()),TRIM(CLEAN(Raw_Data!E88)))</f>
        <v>Developer</v>
      </c>
      <c r="F88" s="2" t="str">
        <f>IFERROR(VLOOKUP(TRIM(CLEAN(Raw_Data!F88)),Lookup_Lists!$A:$B,2,FALSE()),TRIM(CLEAN(Raw_Data!F88)))</f>
        <v>Critical</v>
      </c>
      <c r="G88" s="2" t="str">
        <f>IFERROR(VLOOKUP(TRIM(CLEAN(Raw_Data!G88)),Lookup_Lists!$J:$K,2,FALSE()),TRIM(CLEAN(Raw_Data!G88)))</f>
        <v>Design</v>
      </c>
      <c r="H88" s="10">
        <f>IF(Raw_Data!H88="","",Raw_Data!H88)</f>
        <v>45516</v>
      </c>
      <c r="I88" s="10">
        <f>IF(Raw_Data!I88="","",Raw_Data!I88)</f>
        <v>45549</v>
      </c>
      <c r="J88" s="10" t="str">
        <f>IF(Raw_Data!J88="","",Raw_Data!J88)</f>
        <v/>
      </c>
      <c r="K88" s="2" t="str">
        <f>IFERROR(VLOOKUP(TRIM(CLEAN(Raw_Data!K88)),Lookup_Lists!$D:$E,2,FALSE()),TRIM(CLEAN(Raw_Data!K88)))</f>
        <v>In Progress</v>
      </c>
      <c r="L88" s="15" t="str">
        <f>IF(TRIM(CLEAN(Raw_Data!L88))="","",IFERROR(MIN(100,MAX(0,VALUE(SUBSTITUTE(TRIM(CLEAN(Raw_Data!L88)),"%",""))))/100,0))</f>
        <v/>
      </c>
      <c r="M88" s="16">
        <f>IFERROR(IF(Raw_Data!M88="","",VALUE(Raw_Data!M88)),"")</f>
        <v>35.6</v>
      </c>
      <c r="N88" s="16" t="str">
        <f>IFERROR(IF(Raw_Data!N88="","",VALUE(Raw_Data!N88)),"")</f>
        <v/>
      </c>
      <c r="O88" s="16" t="str">
        <f t="shared" si="2"/>
        <v/>
      </c>
      <c r="P88" s="2" t="str">
        <f>TRIM(CLEAN(Raw_Data!P88))</f>
        <v/>
      </c>
    </row>
    <row r="89" spans="1:16" x14ac:dyDescent="0.3">
      <c r="A89" s="5" t="str">
        <f>TRIM(CLEAN(Raw_Data!A89))</f>
        <v>TSK-0088</v>
      </c>
      <c r="B89" s="5" t="str">
        <f>TRIM(CLEAN(Raw_Data!B89))</f>
        <v>Employee Onboarding</v>
      </c>
      <c r="C89" s="5" t="str">
        <f>IFERROR(VLOOKUP(TRIM(CLEAN(Raw_Data!C89)),Lookup_Lists!$G:$H,2,FALSE()),TRIM(CLEAN(Raw_Data!C89)))</f>
        <v>Operations</v>
      </c>
      <c r="D89" s="5" t="str">
        <f>TRIM(CLEAN(Raw_Data!D89))</f>
        <v>Amit Verma</v>
      </c>
      <c r="E89" s="5" t="str">
        <f>IFERROR(VLOOKUP(TRIM(CLEAN(Raw_Data!E89)),Lookup_Lists!$M:$N,2,FALSE()),TRIM(CLEAN(Raw_Data!E89)))</f>
        <v>Lead</v>
      </c>
      <c r="F89" s="5" t="str">
        <f>IFERROR(VLOOKUP(TRIM(CLEAN(Raw_Data!F89)),Lookup_Lists!$A:$B,2,FALSE()),TRIM(CLEAN(Raw_Data!F89)))</f>
        <v>High</v>
      </c>
      <c r="G89" s="5" t="str">
        <f>IFERROR(VLOOKUP(TRIM(CLEAN(Raw_Data!G89)),Lookup_Lists!$J:$K,2,FALSE()),TRIM(CLEAN(Raw_Data!G89)))</f>
        <v>Development</v>
      </c>
      <c r="H89" s="13">
        <f>IF(Raw_Data!H89="","",Raw_Data!H89)</f>
        <v>45339</v>
      </c>
      <c r="I89" s="13">
        <f>IF(Raw_Data!I89="","",Raw_Data!I89)</f>
        <v>45349</v>
      </c>
      <c r="J89" s="13" t="str">
        <f>IF(Raw_Data!J89="","",Raw_Data!J89)</f>
        <v/>
      </c>
      <c r="K89" s="5" t="str">
        <f>IFERROR(VLOOKUP(TRIM(CLEAN(Raw_Data!K89)),Lookup_Lists!$D:$E,2,FALSE()),TRIM(CLEAN(Raw_Data!K89)))</f>
        <v>On Hold</v>
      </c>
      <c r="L89" s="17" t="str">
        <f>IF(TRIM(CLEAN(Raw_Data!L89))="","",IFERROR(MIN(100,MAX(0,VALUE(SUBSTITUTE(TRIM(CLEAN(Raw_Data!L89)),"%",""))))/100,0))</f>
        <v/>
      </c>
      <c r="M89" s="18">
        <f>IFERROR(IF(Raw_Data!M89="","",VALUE(Raw_Data!M89)),"")</f>
        <v>60.1</v>
      </c>
      <c r="N89" s="18" t="str">
        <f>IFERROR(IF(Raw_Data!N89="","",VALUE(Raw_Data!N89)),"")</f>
        <v/>
      </c>
      <c r="O89" s="18" t="str">
        <f t="shared" si="2"/>
        <v/>
      </c>
      <c r="P89" s="5" t="str">
        <f>TRIM(CLEAN(Raw_Data!P89))</f>
        <v>Priority shifted</v>
      </c>
    </row>
    <row r="90" spans="1:16" x14ac:dyDescent="0.3">
      <c r="A90" s="2" t="str">
        <f>TRIM(CLEAN(Raw_Data!A90))</f>
        <v>TSK-0089</v>
      </c>
      <c r="B90" s="2" t="str">
        <f>TRIM(CLEAN(Raw_Data!B90))</f>
        <v>Mobile App v2</v>
      </c>
      <c r="C90" s="2" t="str">
        <f>IFERROR(VLOOKUP(TRIM(CLEAN(Raw_Data!C90)),Lookup_Lists!$G:$H,2,FALSE()),TRIM(CLEAN(Raw_Data!C90)))</f>
        <v>HR</v>
      </c>
      <c r="D90" s="2" t="str">
        <f>TRIM(CLEAN(Raw_Data!D90))</f>
        <v>Rohan Iyer</v>
      </c>
      <c r="E90" s="2" t="str">
        <f>IFERROR(VLOOKUP(TRIM(CLEAN(Raw_Data!E90)),Lookup_Lists!$M:$N,2,FALSE()),TRIM(CLEAN(Raw_Data!E90)))</f>
        <v>Developer</v>
      </c>
      <c r="F90" s="2" t="str">
        <f>IFERROR(VLOOKUP(TRIM(CLEAN(Raw_Data!F90)),Lookup_Lists!$A:$B,2,FALSE()),TRIM(CLEAN(Raw_Data!F90)))</f>
        <v>Medium</v>
      </c>
      <c r="G90" s="2" t="str">
        <f>IFERROR(VLOOKUP(TRIM(CLEAN(Raw_Data!G90)),Lookup_Lists!$J:$K,2,FALSE()),TRIM(CLEAN(Raw_Data!G90)))</f>
        <v>Review</v>
      </c>
      <c r="H90" s="10">
        <f>IF(Raw_Data!H90="","",Raw_Data!H90)</f>
        <v>45636</v>
      </c>
      <c r="I90" s="10">
        <f>IF(Raw_Data!I90="","",Raw_Data!I90)</f>
        <v>45689</v>
      </c>
      <c r="J90" s="10" t="str">
        <f>IF(Raw_Data!J90="","",Raw_Data!J90)</f>
        <v/>
      </c>
      <c r="K90" s="2" t="str">
        <f>IFERROR(VLOOKUP(TRIM(CLEAN(Raw_Data!K90)),Lookup_Lists!$D:$E,2,FALSE()),TRIM(CLEAN(Raw_Data!K90)))</f>
        <v>On Hold</v>
      </c>
      <c r="L90" s="15" t="str">
        <f>IF(TRIM(CLEAN(Raw_Data!L90))="","",IFERROR(MIN(100,MAX(0,VALUE(SUBSTITUTE(TRIM(CLEAN(Raw_Data!L90)),"%",""))))/100,0))</f>
        <v/>
      </c>
      <c r="M90" s="16">
        <f>IFERROR(IF(Raw_Data!M90="","",VALUE(Raw_Data!M90)),"")</f>
        <v>49.6</v>
      </c>
      <c r="N90" s="16">
        <f>IFERROR(IF(Raw_Data!N90="","",VALUE(Raw_Data!N90)),"")</f>
        <v>0</v>
      </c>
      <c r="O90" s="16">
        <f t="shared" si="2"/>
        <v>-49.6</v>
      </c>
      <c r="P90" s="2" t="str">
        <f>TRIM(CLEAN(Raw_Data!P90))</f>
        <v>Delayed due to dependency</v>
      </c>
    </row>
    <row r="91" spans="1:16" x14ac:dyDescent="0.3">
      <c r="A91" s="5" t="str">
        <f>TRIM(CLEAN(Raw_Data!A91))</f>
        <v>TSK-0090</v>
      </c>
      <c r="B91" s="5" t="str">
        <f>TRIM(CLEAN(Raw_Data!B91))</f>
        <v>Supply Chain Optimization</v>
      </c>
      <c r="C91" s="5" t="str">
        <f>IFERROR(VLOOKUP(TRIM(CLEAN(Raw_Data!C91)),Lookup_Lists!$G:$H,2,FALSE()),TRIM(CLEAN(Raw_Data!C91)))</f>
        <v>Marketing</v>
      </c>
      <c r="D91" s="5" t="str">
        <f>TRIM(CLEAN(Raw_Data!D91))</f>
        <v>Amit Verma</v>
      </c>
      <c r="E91" s="5" t="str">
        <f>IFERROR(VLOOKUP(TRIM(CLEAN(Raw_Data!E91)),Lookup_Lists!$M:$N,2,FALSE()),TRIM(CLEAN(Raw_Data!E91)))</f>
        <v>Lead</v>
      </c>
      <c r="F91" s="5" t="str">
        <f>IFERROR(VLOOKUP(TRIM(CLEAN(Raw_Data!F91)),Lookup_Lists!$A:$B,2,FALSE()),TRIM(CLEAN(Raw_Data!F91)))</f>
        <v>High</v>
      </c>
      <c r="G91" s="5" t="str">
        <f>IFERROR(VLOOKUP(TRIM(CLEAN(Raw_Data!G91)),Lookup_Lists!$J:$K,2,FALSE()),TRIM(CLEAN(Raw_Data!G91)))</f>
        <v>Testing</v>
      </c>
      <c r="H91" s="13">
        <f>IF(Raw_Data!H91="","",Raw_Data!H91)</f>
        <v>45475</v>
      </c>
      <c r="I91" s="13">
        <f>IF(Raw_Data!I91="","",Raw_Data!I91)</f>
        <v>45534</v>
      </c>
      <c r="J91" s="13" t="str">
        <f>IF(Raw_Data!J91="","",Raw_Data!J91)</f>
        <v/>
      </c>
      <c r="K91" s="5" t="str">
        <f>IFERROR(VLOOKUP(TRIM(CLEAN(Raw_Data!K91)),Lookup_Lists!$D:$E,2,FALSE()),TRIM(CLEAN(Raw_Data!K91)))</f>
        <v>Not Started</v>
      </c>
      <c r="L91" s="17">
        <f>IF(TRIM(CLEAN(Raw_Data!L91))="","",IFERROR(MIN(100,MAX(0,VALUE(SUBSTITUTE(TRIM(CLEAN(Raw_Data!L91)),"%",""))))/100,0))</f>
        <v>0</v>
      </c>
      <c r="M91" s="18">
        <f>IFERROR(IF(Raw_Data!M91="","",VALUE(Raw_Data!M91)),"")</f>
        <v>62</v>
      </c>
      <c r="N91" s="18" t="str">
        <f>IFERROR(IF(Raw_Data!N91="","",VALUE(Raw_Data!N91)),"")</f>
        <v/>
      </c>
      <c r="O91" s="18" t="str">
        <f t="shared" si="2"/>
        <v/>
      </c>
      <c r="P91" s="5" t="str">
        <f>TRIM(CLEAN(Raw_Data!P91))</f>
        <v>Needs QA sign-off</v>
      </c>
    </row>
    <row r="92" spans="1:16" x14ac:dyDescent="0.3">
      <c r="A92" s="2" t="str">
        <f>TRIM(CLEAN(Raw_Data!A92))</f>
        <v>TSK-0091</v>
      </c>
      <c r="B92" s="2" t="str">
        <f>TRIM(CLEAN(Raw_Data!B92))</f>
        <v>Supply Chain Optimization</v>
      </c>
      <c r="C92" s="2" t="str">
        <f>IFERROR(VLOOKUP(TRIM(CLEAN(Raw_Data!C92)),Lookup_Lists!$G:$H,2,FALSE()),TRIM(CLEAN(Raw_Data!C92)))</f>
        <v>IT</v>
      </c>
      <c r="D92" s="2" t="str">
        <f>TRIM(CLEAN(Raw_Data!D92))</f>
        <v>Ananya Das</v>
      </c>
      <c r="E92" s="2" t="str">
        <f>IFERROR(VLOOKUP(TRIM(CLEAN(Raw_Data!E92)),Lookup_Lists!$M:$N,2,FALSE()),TRIM(CLEAN(Raw_Data!E92)))</f>
        <v>Manager</v>
      </c>
      <c r="F92" s="2" t="str">
        <f>IFERROR(VLOOKUP(TRIM(CLEAN(Raw_Data!F92)),Lookup_Lists!$A:$B,2,FALSE()),TRIM(CLEAN(Raw_Data!F92)))</f>
        <v>High</v>
      </c>
      <c r="G92" s="2" t="str">
        <f>IFERROR(VLOOKUP(TRIM(CLEAN(Raw_Data!G92)),Lookup_Lists!$J:$K,2,FALSE()),TRIM(CLEAN(Raw_Data!G92)))</f>
        <v>Design</v>
      </c>
      <c r="H92" s="10">
        <f>IF(Raw_Data!H92="","",Raw_Data!H92)</f>
        <v>45435</v>
      </c>
      <c r="I92" s="10">
        <f>IF(Raw_Data!I92="","",Raw_Data!I92)</f>
        <v>45484</v>
      </c>
      <c r="J92" s="10" t="str">
        <f>IF(Raw_Data!J92="","",Raw_Data!J92)</f>
        <v/>
      </c>
      <c r="K92" s="2" t="str">
        <f>IFERROR(VLOOKUP(TRIM(CLEAN(Raw_Data!K92)),Lookup_Lists!$D:$E,2,FALSE()),TRIM(CLEAN(Raw_Data!K92)))</f>
        <v>Not Started</v>
      </c>
      <c r="L92" s="15">
        <f>IF(TRIM(CLEAN(Raw_Data!L92))="","",IFERROR(MIN(100,MAX(0,VALUE(SUBSTITUTE(TRIM(CLEAN(Raw_Data!L92)),"%",""))))/100,0))</f>
        <v>0</v>
      </c>
      <c r="M92" s="16">
        <f>IFERROR(IF(Raw_Data!M92="","",VALUE(Raw_Data!M92)),"")</f>
        <v>30.7</v>
      </c>
      <c r="N92" s="16" t="str">
        <f>IFERROR(IF(Raw_Data!N92="","",VALUE(Raw_Data!N92)),"")</f>
        <v/>
      </c>
      <c r="O92" s="16" t="str">
        <f t="shared" si="2"/>
        <v/>
      </c>
      <c r="P92" s="2" t="str">
        <f>TRIM(CLEAN(Raw_Data!P92))</f>
        <v>Blocked by vendor</v>
      </c>
    </row>
    <row r="93" spans="1:16" x14ac:dyDescent="0.3">
      <c r="A93" s="5" t="str">
        <f>TRIM(CLEAN(Raw_Data!A93))</f>
        <v>TSK-0092</v>
      </c>
      <c r="B93" s="5" t="str">
        <f>TRIM(CLEAN(Raw_Data!B93))</f>
        <v>Marketing Campaign</v>
      </c>
      <c r="C93" s="5" t="str">
        <f>IFERROR(VLOOKUP(TRIM(CLEAN(Raw_Data!C93)),Lookup_Lists!$G:$H,2,FALSE()),TRIM(CLEAN(Raw_Data!C93)))</f>
        <v>IT</v>
      </c>
      <c r="D93" s="5" t="str">
        <f>TRIM(CLEAN(Raw_Data!D93))</f>
        <v>Amit Verma</v>
      </c>
      <c r="E93" s="5" t="str">
        <f>IFERROR(VLOOKUP(TRIM(CLEAN(Raw_Data!E93)),Lookup_Lists!$M:$N,2,FALSE()),TRIM(CLEAN(Raw_Data!E93)))</f>
        <v>Analyst</v>
      </c>
      <c r="F93" s="5" t="str">
        <f>IFERROR(VLOOKUP(TRIM(CLEAN(Raw_Data!F93)),Lookup_Lists!$A:$B,2,FALSE()),TRIM(CLEAN(Raw_Data!F93)))</f>
        <v>High</v>
      </c>
      <c r="G93" s="5" t="str">
        <f>IFERROR(VLOOKUP(TRIM(CLEAN(Raw_Data!G93)),Lookup_Lists!$J:$K,2,FALSE()),TRIM(CLEAN(Raw_Data!G93)))</f>
        <v>Deployment</v>
      </c>
      <c r="H93" s="13">
        <f>IF(Raw_Data!H93="","",Raw_Data!H93)</f>
        <v>45406</v>
      </c>
      <c r="I93" s="13">
        <f>IF(Raw_Data!I93="","",Raw_Data!I93)</f>
        <v>45435</v>
      </c>
      <c r="J93" s="13" t="str">
        <f>IF(Raw_Data!J93="","",Raw_Data!J93)</f>
        <v/>
      </c>
      <c r="K93" s="5" t="str">
        <f>IFERROR(VLOOKUP(TRIM(CLEAN(Raw_Data!K93)),Lookup_Lists!$D:$E,2,FALSE()),TRIM(CLEAN(Raw_Data!K93)))</f>
        <v>On Hold</v>
      </c>
      <c r="L93" s="17" t="str">
        <f>IF(TRIM(CLEAN(Raw_Data!L93))="","",IFERROR(MIN(100,MAX(0,VALUE(SUBSTITUTE(TRIM(CLEAN(Raw_Data!L93)),"%",""))))/100,0))</f>
        <v/>
      </c>
      <c r="M93" s="18">
        <f>IFERROR(IF(Raw_Data!M93="","",VALUE(Raw_Data!M93)),"")</f>
        <v>16</v>
      </c>
      <c r="N93" s="18">
        <f>IFERROR(IF(Raw_Data!N93="","",VALUE(Raw_Data!N93)),"")</f>
        <v>0</v>
      </c>
      <c r="O93" s="18">
        <f t="shared" si="2"/>
        <v>-16</v>
      </c>
      <c r="P93" s="5" t="str">
        <f>TRIM(CLEAN(Raw_Data!P93))</f>
        <v>escalated to management</v>
      </c>
    </row>
    <row r="94" spans="1:16" x14ac:dyDescent="0.3">
      <c r="A94" s="2" t="str">
        <f>TRIM(CLEAN(Raw_Data!A94))</f>
        <v>TSK-0093</v>
      </c>
      <c r="B94" s="2" t="str">
        <f>TRIM(CLEAN(Raw_Data!B94))</f>
        <v>Mobile App v2</v>
      </c>
      <c r="C94" s="2" t="str">
        <f>IFERROR(VLOOKUP(TRIM(CLEAN(Raw_Data!C94)),Lookup_Lists!$G:$H,2,FALSE()),TRIM(CLEAN(Raw_Data!C94)))</f>
        <v>IT</v>
      </c>
      <c r="D94" s="2" t="str">
        <f>TRIM(CLEAN(Raw_Data!D94))</f>
        <v>Karan Malhotra</v>
      </c>
      <c r="E94" s="2" t="str">
        <f>IFERROR(VLOOKUP(TRIM(CLEAN(Raw_Data!E94)),Lookup_Lists!$M:$N,2,FALSE()),TRIM(CLEAN(Raw_Data!E94)))</f>
        <v>Analyst</v>
      </c>
      <c r="F94" s="2" t="str">
        <f>IFERROR(VLOOKUP(TRIM(CLEAN(Raw_Data!F94)),Lookup_Lists!$A:$B,2,FALSE()),TRIM(CLEAN(Raw_Data!F94)))</f>
        <v>High</v>
      </c>
      <c r="G94" s="2" t="str">
        <f>IFERROR(VLOOKUP(TRIM(CLEAN(Raw_Data!G94)),Lookup_Lists!$J:$K,2,FALSE()),TRIM(CLEAN(Raw_Data!G94)))</f>
        <v>Design</v>
      </c>
      <c r="H94" s="10">
        <f>IF(Raw_Data!H94="","",Raw_Data!H94)</f>
        <v>45682</v>
      </c>
      <c r="I94" s="10">
        <f>IF(Raw_Data!I94="","",Raw_Data!I94)</f>
        <v>45726</v>
      </c>
      <c r="J94" s="10">
        <f>IF(Raw_Data!J94="","",Raw_Data!J94)</f>
        <v>45737</v>
      </c>
      <c r="K94" s="2" t="str">
        <f>IFERROR(VLOOKUP(TRIM(CLEAN(Raw_Data!K94)),Lookup_Lists!$D:$E,2,FALSE()),TRIM(CLEAN(Raw_Data!K94)))</f>
        <v>Completed</v>
      </c>
      <c r="L94" s="15">
        <f>IF(TRIM(CLEAN(Raw_Data!L94))="","",IFERROR(MIN(100,MAX(0,VALUE(SUBSTITUTE(TRIM(CLEAN(Raw_Data!L94)),"%",""))))/100,0))</f>
        <v>1</v>
      </c>
      <c r="M94" s="16">
        <f>IFERROR(IF(Raw_Data!M94="","",VALUE(Raw_Data!M94)),"")</f>
        <v>24.7</v>
      </c>
      <c r="N94" s="16">
        <f>IFERROR(IF(Raw_Data!N94="","",VALUE(Raw_Data!N94)),"")</f>
        <v>36.200000000000003</v>
      </c>
      <c r="O94" s="16">
        <f t="shared" si="2"/>
        <v>11.500000000000004</v>
      </c>
      <c r="P94" s="2" t="str">
        <f>TRIM(CLEAN(Raw_Data!P94))</f>
        <v/>
      </c>
    </row>
    <row r="95" spans="1:16" x14ac:dyDescent="0.3">
      <c r="A95" s="5" t="str">
        <f>TRIM(CLEAN(Raw_Data!A95))</f>
        <v>TSK-0094</v>
      </c>
      <c r="B95" s="5" t="str">
        <f>TRIM(CLEAN(Raw_Data!B95))</f>
        <v>Marketing Campaign</v>
      </c>
      <c r="C95" s="5" t="str">
        <f>IFERROR(VLOOKUP(TRIM(CLEAN(Raw_Data!C95)),Lookup_Lists!$G:$H,2,FALSE()),TRIM(CLEAN(Raw_Data!C95)))</f>
        <v>HR</v>
      </c>
      <c r="D95" s="5" t="str">
        <f>TRIM(CLEAN(Raw_Data!D95))</f>
        <v>Sneha Gupta</v>
      </c>
      <c r="E95" s="5" t="str">
        <f>IFERROR(VLOOKUP(TRIM(CLEAN(Raw_Data!E95)),Lookup_Lists!$M:$N,2,FALSE()),TRIM(CLEAN(Raw_Data!E95)))</f>
        <v>Lead</v>
      </c>
      <c r="F95" s="5" t="str">
        <f>IFERROR(VLOOKUP(TRIM(CLEAN(Raw_Data!F95)),Lookup_Lists!$A:$B,2,FALSE()),TRIM(CLEAN(Raw_Data!F95)))</f>
        <v>High</v>
      </c>
      <c r="G95" s="5" t="str">
        <f>IFERROR(VLOOKUP(TRIM(CLEAN(Raw_Data!G95)),Lookup_Lists!$J:$K,2,FALSE()),TRIM(CLEAN(Raw_Data!G95)))</f>
        <v>Review</v>
      </c>
      <c r="H95" s="13">
        <f>IF(Raw_Data!H95="","",Raw_Data!H95)</f>
        <v>45516</v>
      </c>
      <c r="I95" s="13">
        <f>IF(Raw_Data!I95="","",Raw_Data!I95)</f>
        <v>45528</v>
      </c>
      <c r="J95" s="13" t="str">
        <f>IF(Raw_Data!J95="","",Raw_Data!J95)</f>
        <v/>
      </c>
      <c r="K95" s="5" t="str">
        <f>IFERROR(VLOOKUP(TRIM(CLEAN(Raw_Data!K95)),Lookup_Lists!$D:$E,2,FALSE()),TRIM(CLEAN(Raw_Data!K95)))</f>
        <v>Not Started</v>
      </c>
      <c r="L95" s="17" t="str">
        <f>IF(TRIM(CLEAN(Raw_Data!L95))="","",IFERROR(MIN(100,MAX(0,VALUE(SUBSTITUTE(TRIM(CLEAN(Raw_Data!L95)),"%",""))))/100,0))</f>
        <v/>
      </c>
      <c r="M95" s="18">
        <f>IFERROR(IF(Raw_Data!M95="","",VALUE(Raw_Data!M95)),"")</f>
        <v>41</v>
      </c>
      <c r="N95" s="18" t="str">
        <f>IFERROR(IF(Raw_Data!N95="","",VALUE(Raw_Data!N95)),"")</f>
        <v/>
      </c>
      <c r="O95" s="18" t="str">
        <f t="shared" si="2"/>
        <v/>
      </c>
      <c r="P95" s="5" t="str">
        <f>TRIM(CLEAN(Raw_Data!P95))</f>
        <v>Scope changed mid-sprint</v>
      </c>
    </row>
    <row r="96" spans="1:16" x14ac:dyDescent="0.3">
      <c r="A96" s="2" t="str">
        <f>TRIM(CLEAN(Raw_Data!A96))</f>
        <v>TSK-0095</v>
      </c>
      <c r="B96" s="2" t="str">
        <f>TRIM(CLEAN(Raw_Data!B96))</f>
        <v>Product Launch</v>
      </c>
      <c r="C96" s="2" t="str">
        <f>IFERROR(VLOOKUP(TRIM(CLEAN(Raw_Data!C96)),Lookup_Lists!$G:$H,2,FALSE()),TRIM(CLEAN(Raw_Data!C96)))</f>
        <v>Operations</v>
      </c>
      <c r="D96" s="2" t="str">
        <f>TRIM(CLEAN(Raw_Data!D96))</f>
        <v>Ananya Das</v>
      </c>
      <c r="E96" s="2" t="str">
        <f>IFERROR(VLOOKUP(TRIM(CLEAN(Raw_Data!E96)),Lookup_Lists!$M:$N,2,FALSE()),TRIM(CLEAN(Raw_Data!E96)))</f>
        <v>Analyst</v>
      </c>
      <c r="F96" s="2" t="str">
        <f>IFERROR(VLOOKUP(TRIM(CLEAN(Raw_Data!F96)),Lookup_Lists!$A:$B,2,FALSE()),TRIM(CLEAN(Raw_Data!F96)))</f>
        <v>High</v>
      </c>
      <c r="G96" s="2" t="str">
        <f>IFERROR(VLOOKUP(TRIM(CLEAN(Raw_Data!G96)),Lookup_Lists!$J:$K,2,FALSE()),TRIM(CLEAN(Raw_Data!G96)))</f>
        <v>Design</v>
      </c>
      <c r="H96" s="10">
        <f>IF(Raw_Data!H96="","",Raw_Data!H96)</f>
        <v>45450</v>
      </c>
      <c r="I96" s="10">
        <f>IF(Raw_Data!I96="","",Raw_Data!I96)</f>
        <v>45468</v>
      </c>
      <c r="J96" s="10" t="str">
        <f>IF(Raw_Data!J96="","",Raw_Data!J96)</f>
        <v/>
      </c>
      <c r="K96" s="2" t="str">
        <f>IFERROR(VLOOKUP(TRIM(CLEAN(Raw_Data!K96)),Lookup_Lists!$D:$E,2,FALSE()),TRIM(CLEAN(Raw_Data!K96)))</f>
        <v>In Progress</v>
      </c>
      <c r="L96" s="15">
        <f>IF(TRIM(CLEAN(Raw_Data!L96))="","",IFERROR(MIN(100,MAX(0,VALUE(SUBSTITUTE(TRIM(CLEAN(Raw_Data!L96)),"%",""))))/100,0))</f>
        <v>0.42</v>
      </c>
      <c r="M96" s="16">
        <f>IFERROR(IF(Raw_Data!M96="","",VALUE(Raw_Data!M96)),"")</f>
        <v>4.5999999999999996</v>
      </c>
      <c r="N96" s="16">
        <f>IFERROR(IF(Raw_Data!N96="","",VALUE(Raw_Data!N96)),"")</f>
        <v>2.4</v>
      </c>
      <c r="O96" s="16">
        <f t="shared" si="2"/>
        <v>-2.1999999999999997</v>
      </c>
      <c r="P96" s="2" t="str">
        <f>TRIM(CLEAN(Raw_Data!P96))</f>
        <v/>
      </c>
    </row>
    <row r="97" spans="1:16" x14ac:dyDescent="0.3">
      <c r="A97" s="5" t="str">
        <f>TRIM(CLEAN(Raw_Data!A97))</f>
        <v>TSK-0096</v>
      </c>
      <c r="B97" s="5" t="str">
        <f>TRIM(CLEAN(Raw_Data!B97))</f>
        <v>Product Launch</v>
      </c>
      <c r="C97" s="5" t="str">
        <f>IFERROR(VLOOKUP(TRIM(CLEAN(Raw_Data!C97)),Lookup_Lists!$G:$H,2,FALSE()),TRIM(CLEAN(Raw_Data!C97)))</f>
        <v>Sales</v>
      </c>
      <c r="D97" s="5" t="str">
        <f>TRIM(CLEAN(Raw_Data!D97))</f>
        <v>Deepak Nair</v>
      </c>
      <c r="E97" s="5" t="str">
        <f>IFERROR(VLOOKUP(TRIM(CLEAN(Raw_Data!E97)),Lookup_Lists!$M:$N,2,FALSE()),TRIM(CLEAN(Raw_Data!E97)))</f>
        <v>Tester</v>
      </c>
      <c r="F97" s="5" t="str">
        <f>IFERROR(VLOOKUP(TRIM(CLEAN(Raw_Data!F97)),Lookup_Lists!$A:$B,2,FALSE()),TRIM(CLEAN(Raw_Data!F97)))</f>
        <v>High</v>
      </c>
      <c r="G97" s="5" t="str">
        <f>IFERROR(VLOOKUP(TRIM(CLEAN(Raw_Data!G97)),Lookup_Lists!$J:$K,2,FALSE()),TRIM(CLEAN(Raw_Data!G97)))</f>
        <v>Review</v>
      </c>
      <c r="H97" s="13">
        <f>IF(Raw_Data!H97="","",Raw_Data!H97)</f>
        <v>45675</v>
      </c>
      <c r="I97" s="13">
        <f>IF(Raw_Data!I97="","",Raw_Data!I97)</f>
        <v>45682</v>
      </c>
      <c r="J97" s="13" t="str">
        <f>IF(Raw_Data!J97="","",Raw_Data!J97)</f>
        <v/>
      </c>
      <c r="K97" s="5" t="str">
        <f>IFERROR(VLOOKUP(TRIM(CLEAN(Raw_Data!K97)),Lookup_Lists!$D:$E,2,FALSE()),TRIM(CLEAN(Raw_Data!K97)))</f>
        <v>On Hold</v>
      </c>
      <c r="L97" s="17" t="str">
        <f>IF(TRIM(CLEAN(Raw_Data!L97))="","",IFERROR(MIN(100,MAX(0,VALUE(SUBSTITUTE(TRIM(CLEAN(Raw_Data!L97)),"%",""))))/100,0))</f>
        <v/>
      </c>
      <c r="M97" s="18">
        <f>IFERROR(IF(Raw_Data!M97="","",VALUE(Raw_Data!M97)),"")</f>
        <v>74</v>
      </c>
      <c r="N97" s="18">
        <f>IFERROR(IF(Raw_Data!N97="","",VALUE(Raw_Data!N97)),"")</f>
        <v>0</v>
      </c>
      <c r="O97" s="18">
        <f t="shared" si="2"/>
        <v>-74</v>
      </c>
      <c r="P97" s="5" t="str">
        <f>TRIM(CLEAN(Raw_Data!P97))</f>
        <v>Dependencies unresolved</v>
      </c>
    </row>
    <row r="98" spans="1:16" x14ac:dyDescent="0.3">
      <c r="A98" s="2" t="str">
        <f>TRIM(CLEAN(Raw_Data!A98))</f>
        <v>TSK-0097</v>
      </c>
      <c r="B98" s="2" t="str">
        <f>TRIM(CLEAN(Raw_Data!B98))</f>
        <v>Mobile App v2</v>
      </c>
      <c r="C98" s="2" t="str">
        <f>IFERROR(VLOOKUP(TRIM(CLEAN(Raw_Data!C98)),Lookup_Lists!$G:$H,2,FALSE()),TRIM(CLEAN(Raw_Data!C98)))</f>
        <v>Operations</v>
      </c>
      <c r="D98" s="2" t="str">
        <f>TRIM(CLEAN(Raw_Data!D98))</f>
        <v>Pooja Reddy</v>
      </c>
      <c r="E98" s="2" t="str">
        <f>IFERROR(VLOOKUP(TRIM(CLEAN(Raw_Data!E98)),Lookup_Lists!$M:$N,2,FALSE()),TRIM(CLEAN(Raw_Data!E98)))</f>
        <v>Coordinator</v>
      </c>
      <c r="F98" s="2" t="str">
        <f>IFERROR(VLOOKUP(TRIM(CLEAN(Raw_Data!F98)),Lookup_Lists!$A:$B,2,FALSE()),TRIM(CLEAN(Raw_Data!F98)))</f>
        <v>Medium</v>
      </c>
      <c r="G98" s="2" t="str">
        <f>IFERROR(VLOOKUP(TRIM(CLEAN(Raw_Data!G98)),Lookup_Lists!$J:$K,2,FALSE()),TRIM(CLEAN(Raw_Data!G98)))</f>
        <v>Testing</v>
      </c>
      <c r="H98" s="10">
        <f>IF(Raw_Data!H98="","",Raw_Data!H98)</f>
        <v>45503</v>
      </c>
      <c r="I98" s="10">
        <f>IF(Raw_Data!I98="","",Raw_Data!I98)</f>
        <v>45509</v>
      </c>
      <c r="J98" s="10" t="str">
        <f>IF(Raw_Data!J98="","",Raw_Data!J98)</f>
        <v/>
      </c>
      <c r="K98" s="2" t="str">
        <f>IFERROR(VLOOKUP(TRIM(CLEAN(Raw_Data!K98)),Lookup_Lists!$D:$E,2,FALSE()),TRIM(CLEAN(Raw_Data!K98)))</f>
        <v>Not Started</v>
      </c>
      <c r="L98" s="15">
        <f>IF(TRIM(CLEAN(Raw_Data!L98))="","",IFERROR(MIN(100,MAX(0,VALUE(SUBSTITUTE(TRIM(CLEAN(Raw_Data!L98)),"%",""))))/100,0))</f>
        <v>0</v>
      </c>
      <c r="M98" s="16">
        <f>IFERROR(IF(Raw_Data!M98="","",VALUE(Raw_Data!M98)),"")</f>
        <v>64.900000000000006</v>
      </c>
      <c r="N98" s="16" t="str">
        <f>IFERROR(IF(Raw_Data!N98="","",VALUE(Raw_Data!N98)),"")</f>
        <v/>
      </c>
      <c r="O98" s="16" t="str">
        <f t="shared" ref="O98:O121" si="3">IFERROR(IF(AND(N98&lt;&gt;"",M98&lt;&gt;""),N98-M98,""),"")</f>
        <v/>
      </c>
      <c r="P98" s="2" t="str">
        <f>TRIM(CLEAN(Raw_Data!P98))</f>
        <v/>
      </c>
    </row>
    <row r="99" spans="1:16" x14ac:dyDescent="0.3">
      <c r="A99" s="5" t="str">
        <f>TRIM(CLEAN(Raw_Data!A99))</f>
        <v>TSK-0098</v>
      </c>
      <c r="B99" s="5" t="str">
        <f>TRIM(CLEAN(Raw_Data!B99))</f>
        <v>CRM Migration</v>
      </c>
      <c r="C99" s="5" t="str">
        <f>IFERROR(VLOOKUP(TRIM(CLEAN(Raw_Data!C99)),Lookup_Lists!$G:$H,2,FALSE()),TRIM(CLEAN(Raw_Data!C99)))</f>
        <v>Operations</v>
      </c>
      <c r="D99" s="5" t="str">
        <f>TRIM(CLEAN(Raw_Data!D99))</f>
        <v>Meera Thakur</v>
      </c>
      <c r="E99" s="5" t="str">
        <f>IFERROR(VLOOKUP(TRIM(CLEAN(Raw_Data!E99)),Lookup_Lists!$M:$N,2,FALSE()),TRIM(CLEAN(Raw_Data!E99)))</f>
        <v>Developer</v>
      </c>
      <c r="F99" s="5" t="str">
        <f>IFERROR(VLOOKUP(TRIM(CLEAN(Raw_Data!F99)),Lookup_Lists!$A:$B,2,FALSE()),TRIM(CLEAN(Raw_Data!F99)))</f>
        <v>High</v>
      </c>
      <c r="G99" s="5" t="str">
        <f>IFERROR(VLOOKUP(TRIM(CLEAN(Raw_Data!G99)),Lookup_Lists!$J:$K,2,FALSE()),TRIM(CLEAN(Raw_Data!G99)))</f>
        <v>Documentation</v>
      </c>
      <c r="H99" s="13">
        <f>IF(Raw_Data!H99="","",Raw_Data!H99)</f>
        <v>45597</v>
      </c>
      <c r="I99" s="13">
        <f>IF(Raw_Data!I99="","",Raw_Data!I99)</f>
        <v>45627</v>
      </c>
      <c r="J99" s="13" t="str">
        <f>IF(Raw_Data!J99="","",Raw_Data!J99)</f>
        <v/>
      </c>
      <c r="K99" s="5" t="str">
        <f>IFERROR(VLOOKUP(TRIM(CLEAN(Raw_Data!K99)),Lookup_Lists!$D:$E,2,FALSE()),TRIM(CLEAN(Raw_Data!K99)))</f>
        <v>Cancelled</v>
      </c>
      <c r="L99" s="17">
        <f>IF(TRIM(CLEAN(Raw_Data!L99))="","",IFERROR(MIN(100,MAX(0,VALUE(SUBSTITUTE(TRIM(CLEAN(Raw_Data!L99)),"%",""))))/100,0))</f>
        <v>0</v>
      </c>
      <c r="M99" s="18">
        <f>IFERROR(IF(Raw_Data!M99="","",VALUE(Raw_Data!M99)),"")</f>
        <v>34.1</v>
      </c>
      <c r="N99" s="18">
        <f>IFERROR(IF(Raw_Data!N99="","",VALUE(Raw_Data!N99)),"")</f>
        <v>0</v>
      </c>
      <c r="O99" s="18">
        <f t="shared" si="3"/>
        <v>-34.1</v>
      </c>
      <c r="P99" s="5" t="str">
        <f>TRIM(CLEAN(Raw_Data!P99))</f>
        <v>escalated to management</v>
      </c>
    </row>
    <row r="100" spans="1:16" x14ac:dyDescent="0.3">
      <c r="A100" s="2" t="str">
        <f>TRIM(CLEAN(Raw_Data!A100))</f>
        <v>TSK-0099</v>
      </c>
      <c r="B100" s="2" t="str">
        <f>TRIM(CLEAN(Raw_Data!B100))</f>
        <v>Product Launch</v>
      </c>
      <c r="C100" s="2" t="str">
        <f>IFERROR(VLOOKUP(TRIM(CLEAN(Raw_Data!C100)),Lookup_Lists!$G:$H,2,FALSE()),TRIM(CLEAN(Raw_Data!C100)))</f>
        <v>HR</v>
      </c>
      <c r="D100" s="2" t="str">
        <f>TRIM(CLEAN(Raw_Data!D100))</f>
        <v>Sanjay Kulkarni</v>
      </c>
      <c r="E100" s="2" t="str">
        <f>IFERROR(VLOOKUP(TRIM(CLEAN(Raw_Data!E100)),Lookup_Lists!$M:$N,2,FALSE()),TRIM(CLEAN(Raw_Data!E100)))</f>
        <v>Developer</v>
      </c>
      <c r="F100" s="2" t="str">
        <f>IFERROR(VLOOKUP(TRIM(CLEAN(Raw_Data!F100)),Lookup_Lists!$A:$B,2,FALSE()),TRIM(CLEAN(Raw_Data!F100)))</f>
        <v>High</v>
      </c>
      <c r="G100" s="2" t="str">
        <f>IFERROR(VLOOKUP(TRIM(CLEAN(Raw_Data!G100)),Lookup_Lists!$J:$K,2,FALSE()),TRIM(CLEAN(Raw_Data!G100)))</f>
        <v>Deployment</v>
      </c>
      <c r="H100" s="10">
        <f>IF(Raw_Data!H100="","",Raw_Data!H100)</f>
        <v>45620</v>
      </c>
      <c r="I100" s="10">
        <f>IF(Raw_Data!I100="","",Raw_Data!I100)</f>
        <v>45632</v>
      </c>
      <c r="J100" s="10" t="str">
        <f>IF(Raw_Data!J100="","",Raw_Data!J100)</f>
        <v/>
      </c>
      <c r="K100" s="2" t="str">
        <f>IFERROR(VLOOKUP(TRIM(CLEAN(Raw_Data!K100)),Lookup_Lists!$D:$E,2,FALSE()),TRIM(CLEAN(Raw_Data!K100)))</f>
        <v>Cancelled</v>
      </c>
      <c r="L100" s="15" t="str">
        <f>IF(TRIM(CLEAN(Raw_Data!L100))="","",IFERROR(MIN(100,MAX(0,VALUE(SUBSTITUTE(TRIM(CLEAN(Raw_Data!L100)),"%",""))))/100,0))</f>
        <v/>
      </c>
      <c r="M100" s="16">
        <f>IFERROR(IF(Raw_Data!M100="","",VALUE(Raw_Data!M100)),"")</f>
        <v>18.7</v>
      </c>
      <c r="N100" s="16">
        <f>IFERROR(IF(Raw_Data!N100="","",VALUE(Raw_Data!N100)),"")</f>
        <v>0</v>
      </c>
      <c r="O100" s="16">
        <f t="shared" si="3"/>
        <v>-18.7</v>
      </c>
      <c r="P100" s="2" t="str">
        <f>TRIM(CLEAN(Raw_Data!P100))</f>
        <v>Stakeholder review next week</v>
      </c>
    </row>
    <row r="101" spans="1:16" x14ac:dyDescent="0.3">
      <c r="A101" s="5" t="str">
        <f>TRIM(CLEAN(Raw_Data!A101))</f>
        <v>TSK-0100</v>
      </c>
      <c r="B101" s="5" t="str">
        <f>TRIM(CLEAN(Raw_Data!B101))</f>
        <v>Product Launch</v>
      </c>
      <c r="C101" s="5" t="str">
        <f>IFERROR(VLOOKUP(TRIM(CLEAN(Raw_Data!C101)),Lookup_Lists!$G:$H,2,FALSE()),TRIM(CLEAN(Raw_Data!C101)))</f>
        <v>Finance</v>
      </c>
      <c r="D101" s="5" t="str">
        <f>TRIM(CLEAN(Raw_Data!D101))</f>
        <v>Amit Verma</v>
      </c>
      <c r="E101" s="5" t="str">
        <f>IFERROR(VLOOKUP(TRIM(CLEAN(Raw_Data!E101)),Lookup_Lists!$M:$N,2,FALSE()),TRIM(CLEAN(Raw_Data!E101)))</f>
        <v>Manager</v>
      </c>
      <c r="F101" s="5" t="str">
        <f>IFERROR(VLOOKUP(TRIM(CLEAN(Raw_Data!F101)),Lookup_Lists!$A:$B,2,FALSE()),TRIM(CLEAN(Raw_Data!F101)))</f>
        <v>High</v>
      </c>
      <c r="G101" s="5" t="str">
        <f>IFERROR(VLOOKUP(TRIM(CLEAN(Raw_Data!G101)),Lookup_Lists!$J:$K,2,FALSE()),TRIM(CLEAN(Raw_Data!G101)))</f>
        <v>Design</v>
      </c>
      <c r="H101" s="13">
        <f>IF(Raw_Data!H101="","",Raw_Data!H101)</f>
        <v>45604</v>
      </c>
      <c r="I101" s="13">
        <f>IF(Raw_Data!I101="","",Raw_Data!I101)</f>
        <v>45618</v>
      </c>
      <c r="J101" s="13">
        <f>IF(Raw_Data!J101="","",Raw_Data!J101)</f>
        <v>45613</v>
      </c>
      <c r="K101" s="5" t="str">
        <f>IFERROR(VLOOKUP(TRIM(CLEAN(Raw_Data!K101)),Lookup_Lists!$D:$E,2,FALSE()),TRIM(CLEAN(Raw_Data!K101)))</f>
        <v>Completed</v>
      </c>
      <c r="L101" s="17">
        <f>IF(TRIM(CLEAN(Raw_Data!L101))="","",IFERROR(MIN(100,MAX(0,VALUE(SUBSTITUTE(TRIM(CLEAN(Raw_Data!L101)),"%",""))))/100,0))</f>
        <v>1</v>
      </c>
      <c r="M101" s="18">
        <f>IFERROR(IF(Raw_Data!M101="","",VALUE(Raw_Data!M101)),"")</f>
        <v>39.299999999999997</v>
      </c>
      <c r="N101" s="18">
        <f>IFERROR(IF(Raw_Data!N101="","",VALUE(Raw_Data!N101)),"")</f>
        <v>46.8</v>
      </c>
      <c r="O101" s="18">
        <f t="shared" si="3"/>
        <v>7.5</v>
      </c>
      <c r="P101" s="5" t="str">
        <f>TRIM(CLEAN(Raw_Data!P101))</f>
        <v>Dependencies unresolved</v>
      </c>
    </row>
    <row r="102" spans="1:16" x14ac:dyDescent="0.3">
      <c r="A102" s="2" t="str">
        <f>TRIM(CLEAN(Raw_Data!A102))</f>
        <v>TSK-0101</v>
      </c>
      <c r="B102" s="2" t="str">
        <f>TRIM(CLEAN(Raw_Data!B102))</f>
        <v>Mobile App v2</v>
      </c>
      <c r="C102" s="2" t="str">
        <f>IFERROR(VLOOKUP(TRIM(CLEAN(Raw_Data!C102)),Lookup_Lists!$G:$H,2,FALSE()),TRIM(CLEAN(Raw_Data!C102)))</f>
        <v>HR</v>
      </c>
      <c r="D102" s="2" t="str">
        <f>TRIM(CLEAN(Raw_Data!D102))</f>
        <v>Meera Thakur</v>
      </c>
      <c r="E102" s="2" t="str">
        <f>IFERROR(VLOOKUP(TRIM(CLEAN(Raw_Data!E102)),Lookup_Lists!$M:$N,2,FALSE()),TRIM(CLEAN(Raw_Data!E102)))</f>
        <v>Designer</v>
      </c>
      <c r="F102" s="2" t="str">
        <f>IFERROR(VLOOKUP(TRIM(CLEAN(Raw_Data!F102)),Lookup_Lists!$A:$B,2,FALSE()),TRIM(CLEAN(Raw_Data!F102)))</f>
        <v>High</v>
      </c>
      <c r="G102" s="2" t="str">
        <f>IFERROR(VLOOKUP(TRIM(CLEAN(Raw_Data!G102)),Lookup_Lists!$J:$K,2,FALSE()),TRIM(CLEAN(Raw_Data!G102)))</f>
        <v>Documentation</v>
      </c>
      <c r="H102" s="10">
        <f>IF(Raw_Data!H102="","",Raw_Data!H102)</f>
        <v>45330</v>
      </c>
      <c r="I102" s="10">
        <f>IF(Raw_Data!I102="","",Raw_Data!I102)</f>
        <v>45365</v>
      </c>
      <c r="J102" s="10" t="str">
        <f>IF(Raw_Data!J102="","",Raw_Data!J102)</f>
        <v/>
      </c>
      <c r="K102" s="2" t="str">
        <f>IFERROR(VLOOKUP(TRIM(CLEAN(Raw_Data!K102)),Lookup_Lists!$D:$E,2,FALSE()),TRIM(CLEAN(Raw_Data!K102)))</f>
        <v>On Hold</v>
      </c>
      <c r="L102" s="15" t="str">
        <f>IF(TRIM(CLEAN(Raw_Data!L102))="","",IFERROR(MIN(100,MAX(0,VALUE(SUBSTITUTE(TRIM(CLEAN(Raw_Data!L102)),"%",""))))/100,0))</f>
        <v/>
      </c>
      <c r="M102" s="16">
        <f>IFERROR(IF(Raw_Data!M102="","",VALUE(Raw_Data!M102)),"")</f>
        <v>48.9</v>
      </c>
      <c r="N102" s="16">
        <f>IFERROR(IF(Raw_Data!N102="","",VALUE(Raw_Data!N102)),"")</f>
        <v>0</v>
      </c>
      <c r="O102" s="16">
        <f t="shared" si="3"/>
        <v>-48.9</v>
      </c>
      <c r="P102" s="2" t="str">
        <f>TRIM(CLEAN(Raw_Data!P102))</f>
        <v>Rescheduled</v>
      </c>
    </row>
    <row r="103" spans="1:16" x14ac:dyDescent="0.3">
      <c r="A103" s="5" t="str">
        <f>TRIM(CLEAN(Raw_Data!A103))</f>
        <v>TSK-0102</v>
      </c>
      <c r="B103" s="5" t="str">
        <f>TRIM(CLEAN(Raw_Data!B103))</f>
        <v>Employee Onboarding</v>
      </c>
      <c r="C103" s="5" t="str">
        <f>IFERROR(VLOOKUP(TRIM(CLEAN(Raw_Data!C103)),Lookup_Lists!$G:$H,2,FALSE()),TRIM(CLEAN(Raw_Data!C103)))</f>
        <v>Sales</v>
      </c>
      <c r="D103" s="5" t="str">
        <f>TRIM(CLEAN(Raw_Data!D103))</f>
        <v>Kavita Rao</v>
      </c>
      <c r="E103" s="5" t="str">
        <f>IFERROR(VLOOKUP(TRIM(CLEAN(Raw_Data!E103)),Lookup_Lists!$M:$N,2,FALSE()),TRIM(CLEAN(Raw_Data!E103)))</f>
        <v>Analyst</v>
      </c>
      <c r="F103" s="5" t="str">
        <f>IFERROR(VLOOKUP(TRIM(CLEAN(Raw_Data!F103)),Lookup_Lists!$A:$B,2,FALSE()),TRIM(CLEAN(Raw_Data!F103)))</f>
        <v>High</v>
      </c>
      <c r="G103" s="5" t="str">
        <f>IFERROR(VLOOKUP(TRIM(CLEAN(Raw_Data!G103)),Lookup_Lists!$J:$K,2,FALSE()),TRIM(CLEAN(Raw_Data!G103)))</f>
        <v>Review</v>
      </c>
      <c r="H103" s="13">
        <f>IF(Raw_Data!H103="","",Raw_Data!H103)</f>
        <v>45442</v>
      </c>
      <c r="I103" s="13">
        <f>IF(Raw_Data!I103="","",Raw_Data!I103)</f>
        <v>45451</v>
      </c>
      <c r="J103" s="13">
        <f>IF(Raw_Data!J103="","",Raw_Data!J103)</f>
        <v>45460</v>
      </c>
      <c r="K103" s="5" t="str">
        <f>IFERROR(VLOOKUP(TRIM(CLEAN(Raw_Data!K103)),Lookup_Lists!$D:$E,2,FALSE()),TRIM(CLEAN(Raw_Data!K103)))</f>
        <v>Completed</v>
      </c>
      <c r="L103" s="17">
        <f>IF(TRIM(CLEAN(Raw_Data!L103))="","",IFERROR(MIN(100,MAX(0,VALUE(SUBSTITUTE(TRIM(CLEAN(Raw_Data!L103)),"%",""))))/100,0))</f>
        <v>1</v>
      </c>
      <c r="M103" s="18">
        <f>IFERROR(IF(Raw_Data!M103="","",VALUE(Raw_Data!M103)),"")</f>
        <v>42.5</v>
      </c>
      <c r="N103" s="18">
        <f>IFERROR(IF(Raw_Data!N103="","",VALUE(Raw_Data!N103)),"")</f>
        <v>46</v>
      </c>
      <c r="O103" s="18">
        <f t="shared" si="3"/>
        <v>3.5</v>
      </c>
      <c r="P103" s="5" t="str">
        <f>TRIM(CLEAN(Raw_Data!P103))</f>
        <v>Priority shifted</v>
      </c>
    </row>
    <row r="104" spans="1:16" x14ac:dyDescent="0.3">
      <c r="A104" s="2" t="str">
        <f>TRIM(CLEAN(Raw_Data!A104))</f>
        <v>TSK-0103</v>
      </c>
      <c r="B104" s="2" t="str">
        <f>TRIM(CLEAN(Raw_Data!B104))</f>
        <v>Mobile App v2</v>
      </c>
      <c r="C104" s="2" t="str">
        <f>IFERROR(VLOOKUP(TRIM(CLEAN(Raw_Data!C104)),Lookup_Lists!$G:$H,2,FALSE()),TRIM(CLEAN(Raw_Data!C104)))</f>
        <v>Marketing</v>
      </c>
      <c r="D104" s="2" t="str">
        <f>TRIM(CLEAN(Raw_Data!D104))</f>
        <v>Neha Joshi</v>
      </c>
      <c r="E104" s="2" t="str">
        <f>IFERROR(VLOOKUP(TRIM(CLEAN(Raw_Data!E104)),Lookup_Lists!$M:$N,2,FALSE()),TRIM(CLEAN(Raw_Data!E104)))</f>
        <v>Lead</v>
      </c>
      <c r="F104" s="2" t="str">
        <f>IFERROR(VLOOKUP(TRIM(CLEAN(Raw_Data!F104)),Lookup_Lists!$A:$B,2,FALSE()),TRIM(CLEAN(Raw_Data!F104)))</f>
        <v>Low</v>
      </c>
      <c r="G104" s="2" t="str">
        <f>IFERROR(VLOOKUP(TRIM(CLEAN(Raw_Data!G104)),Lookup_Lists!$J:$K,2,FALSE()),TRIM(CLEAN(Raw_Data!G104)))</f>
        <v>Testing</v>
      </c>
      <c r="H104" s="10">
        <f>IF(Raw_Data!H104="","",Raw_Data!H104)</f>
        <v>45327</v>
      </c>
      <c r="I104" s="10">
        <f>IF(Raw_Data!I104="","",Raw_Data!I104)</f>
        <v>45360</v>
      </c>
      <c r="J104" s="10">
        <f>IF(Raw_Data!J104="","",Raw_Data!J104)</f>
        <v>45375</v>
      </c>
      <c r="K104" s="2" t="str">
        <f>IFERROR(VLOOKUP(TRIM(CLEAN(Raw_Data!K104)),Lookup_Lists!$D:$E,2,FALSE()),TRIM(CLEAN(Raw_Data!K104)))</f>
        <v>Completed</v>
      </c>
      <c r="L104" s="15">
        <f>IF(TRIM(CLEAN(Raw_Data!L104))="","",IFERROR(MIN(100,MAX(0,VALUE(SUBSTITUTE(TRIM(CLEAN(Raw_Data!L104)),"%",""))))/100,0))</f>
        <v>1</v>
      </c>
      <c r="M104" s="16">
        <f>IFERROR(IF(Raw_Data!M104="","",VALUE(Raw_Data!M104)),"")</f>
        <v>78.7</v>
      </c>
      <c r="N104" s="16">
        <f>IFERROR(IF(Raw_Data!N104="","",VALUE(Raw_Data!N104)),"")</f>
        <v>67.099999999999994</v>
      </c>
      <c r="O104" s="16">
        <f t="shared" si="3"/>
        <v>-11.600000000000009</v>
      </c>
      <c r="P104" s="2" t="str">
        <f>TRIM(CLEAN(Raw_Data!P104))</f>
        <v>Waiting on approval</v>
      </c>
    </row>
    <row r="105" spans="1:16" x14ac:dyDescent="0.3">
      <c r="A105" s="5" t="str">
        <f>TRIM(CLEAN(Raw_Data!A105))</f>
        <v>TSK-0104</v>
      </c>
      <c r="B105" s="5" t="str">
        <f>TRIM(CLEAN(Raw_Data!B105))</f>
        <v>Product Launch</v>
      </c>
      <c r="C105" s="5" t="str">
        <f>IFERROR(VLOOKUP(TRIM(CLEAN(Raw_Data!C105)),Lookup_Lists!$G:$H,2,FALSE()),TRIM(CLEAN(Raw_Data!C105)))</f>
        <v>Sales</v>
      </c>
      <c r="D105" s="5" t="str">
        <f>TRIM(CLEAN(Raw_Data!D105))</f>
        <v>Kavita Rao</v>
      </c>
      <c r="E105" s="5" t="str">
        <f>IFERROR(VLOOKUP(TRIM(CLEAN(Raw_Data!E105)),Lookup_Lists!$M:$N,2,FALSE()),TRIM(CLEAN(Raw_Data!E105)))</f>
        <v>Lead</v>
      </c>
      <c r="F105" s="5" t="str">
        <f>IFERROR(VLOOKUP(TRIM(CLEAN(Raw_Data!F105)),Lookup_Lists!$A:$B,2,FALSE()),TRIM(CLEAN(Raw_Data!F105)))</f>
        <v>Low</v>
      </c>
      <c r="G105" s="5" t="str">
        <f>IFERROR(VLOOKUP(TRIM(CLEAN(Raw_Data!G105)),Lookup_Lists!$J:$K,2,FALSE()),TRIM(CLEAN(Raw_Data!G105)))</f>
        <v>Design</v>
      </c>
      <c r="H105" s="13">
        <f>IF(Raw_Data!H105="","",Raw_Data!H105)</f>
        <v>45482</v>
      </c>
      <c r="I105" s="13">
        <f>IF(Raw_Data!I105="","",Raw_Data!I105)</f>
        <v>45510</v>
      </c>
      <c r="J105" s="13" t="str">
        <f>IF(Raw_Data!J105="","",Raw_Data!J105)</f>
        <v/>
      </c>
      <c r="K105" s="5" t="str">
        <f>IFERROR(VLOOKUP(TRIM(CLEAN(Raw_Data!K105)),Lookup_Lists!$D:$E,2,FALSE()),TRIM(CLEAN(Raw_Data!K105)))</f>
        <v>Not Started</v>
      </c>
      <c r="L105" s="17" t="str">
        <f>IF(TRIM(CLEAN(Raw_Data!L105))="","",IFERROR(MIN(100,MAX(0,VALUE(SUBSTITUTE(TRIM(CLEAN(Raw_Data!L105)),"%",""))))/100,0))</f>
        <v/>
      </c>
      <c r="M105" s="18">
        <f>IFERROR(IF(Raw_Data!M105="","",VALUE(Raw_Data!M105)),"")</f>
        <v>35.1</v>
      </c>
      <c r="N105" s="18">
        <f>IFERROR(IF(Raw_Data!N105="","",VALUE(Raw_Data!N105)),"")</f>
        <v>0</v>
      </c>
      <c r="O105" s="18">
        <f t="shared" si="3"/>
        <v>-35.1</v>
      </c>
      <c r="P105" s="5" t="str">
        <f>TRIM(CLEAN(Raw_Data!P105))</f>
        <v>final review stage</v>
      </c>
    </row>
    <row r="106" spans="1:16" x14ac:dyDescent="0.3">
      <c r="A106" s="2" t="str">
        <f>TRIM(CLEAN(Raw_Data!A106))</f>
        <v>TSK-0105</v>
      </c>
      <c r="B106" s="2" t="str">
        <f>TRIM(CLEAN(Raw_Data!B106))</f>
        <v>Website Redesign</v>
      </c>
      <c r="C106" s="2" t="str">
        <f>IFERROR(VLOOKUP(TRIM(CLEAN(Raw_Data!C106)),Lookup_Lists!$G:$H,2,FALSE()),TRIM(CLEAN(Raw_Data!C106)))</f>
        <v>HR</v>
      </c>
      <c r="D106" s="2" t="str">
        <f>TRIM(CLEAN(Raw_Data!D106))</f>
        <v>Priya Patel</v>
      </c>
      <c r="E106" s="2" t="str">
        <f>IFERROR(VLOOKUP(TRIM(CLEAN(Raw_Data!E106)),Lookup_Lists!$M:$N,2,FALSE()),TRIM(CLEAN(Raw_Data!E106)))</f>
        <v>Designer</v>
      </c>
      <c r="F106" s="2" t="str">
        <f>IFERROR(VLOOKUP(TRIM(CLEAN(Raw_Data!F106)),Lookup_Lists!$A:$B,2,FALSE()),TRIM(CLEAN(Raw_Data!F106)))</f>
        <v>High</v>
      </c>
      <c r="G106" s="2" t="str">
        <f>IFERROR(VLOOKUP(TRIM(CLEAN(Raw_Data!G106)),Lookup_Lists!$J:$K,2,FALSE()),TRIM(CLEAN(Raw_Data!G106)))</f>
        <v>Review</v>
      </c>
      <c r="H106" s="10">
        <f>IF(Raw_Data!H106="","",Raw_Data!H106)</f>
        <v>45441</v>
      </c>
      <c r="I106" s="10">
        <f>IF(Raw_Data!I106="","",Raw_Data!I106)</f>
        <v>45462</v>
      </c>
      <c r="J106" s="10" t="str">
        <f>IF(Raw_Data!J106="","",Raw_Data!J106)</f>
        <v/>
      </c>
      <c r="K106" s="2" t="str">
        <f>IFERROR(VLOOKUP(TRIM(CLEAN(Raw_Data!K106)),Lookup_Lists!$D:$E,2,FALSE()),TRIM(CLEAN(Raw_Data!K106)))</f>
        <v>In Progress</v>
      </c>
      <c r="L106" s="15">
        <f>IF(TRIM(CLEAN(Raw_Data!L106))="","",IFERROR(MIN(100,MAX(0,VALUE(SUBSTITUTE(TRIM(CLEAN(Raw_Data!L106)),"%",""))))/100,0))</f>
        <v>0.25</v>
      </c>
      <c r="M106" s="16">
        <f>IFERROR(IF(Raw_Data!M106="","",VALUE(Raw_Data!M106)),"")</f>
        <v>73.7</v>
      </c>
      <c r="N106" s="16">
        <f>IFERROR(IF(Raw_Data!N106="","",VALUE(Raw_Data!N106)),"")</f>
        <v>44.2</v>
      </c>
      <c r="O106" s="16">
        <f t="shared" si="3"/>
        <v>-29.5</v>
      </c>
      <c r="P106" s="2" t="str">
        <f>TRIM(CLEAN(Raw_Data!P106))</f>
        <v>final review stage</v>
      </c>
    </row>
    <row r="107" spans="1:16" x14ac:dyDescent="0.3">
      <c r="A107" s="5" t="str">
        <f>TRIM(CLEAN(Raw_Data!A107))</f>
        <v>TSK-0106</v>
      </c>
      <c r="B107" s="5" t="str">
        <f>TRIM(CLEAN(Raw_Data!B107))</f>
        <v>Annual Audit</v>
      </c>
      <c r="C107" s="5" t="str">
        <f>IFERROR(VLOOKUP(TRIM(CLEAN(Raw_Data!C107)),Lookup_Lists!$G:$H,2,FALSE()),TRIM(CLEAN(Raw_Data!C107)))</f>
        <v>IT</v>
      </c>
      <c r="D107" s="5" t="str">
        <f>TRIM(CLEAN(Raw_Data!D107))</f>
        <v>Vikram Singh</v>
      </c>
      <c r="E107" s="5" t="str">
        <f>IFERROR(VLOOKUP(TRIM(CLEAN(Raw_Data!E107)),Lookup_Lists!$M:$N,2,FALSE()),TRIM(CLEAN(Raw_Data!E107)))</f>
        <v>Tester</v>
      </c>
      <c r="F107" s="5" t="str">
        <f>IFERROR(VLOOKUP(TRIM(CLEAN(Raw_Data!F107)),Lookup_Lists!$A:$B,2,FALSE()),TRIM(CLEAN(Raw_Data!F107)))</f>
        <v>Low</v>
      </c>
      <c r="G107" s="5" t="str">
        <f>IFERROR(VLOOKUP(TRIM(CLEAN(Raw_Data!G107)),Lookup_Lists!$J:$K,2,FALSE()),TRIM(CLEAN(Raw_Data!G107)))</f>
        <v>Planning</v>
      </c>
      <c r="H107" s="13">
        <f>IF(Raw_Data!H107="","",Raw_Data!H107)</f>
        <v>45361</v>
      </c>
      <c r="I107" s="13">
        <f>IF(Raw_Data!I107="","",Raw_Data!I107)</f>
        <v>45408</v>
      </c>
      <c r="J107" s="13" t="str">
        <f>IF(Raw_Data!J107="","",Raw_Data!J107)</f>
        <v/>
      </c>
      <c r="K107" s="5" t="str">
        <f>IFERROR(VLOOKUP(TRIM(CLEAN(Raw_Data!K107)),Lookup_Lists!$D:$E,2,FALSE()),TRIM(CLEAN(Raw_Data!K107)))</f>
        <v>Cancelled</v>
      </c>
      <c r="L107" s="17">
        <f>IF(TRIM(CLEAN(Raw_Data!L107))="","",IFERROR(MIN(100,MAX(0,VALUE(SUBSTITUTE(TRIM(CLEAN(Raw_Data!L107)),"%",""))))/100,0))</f>
        <v>0</v>
      </c>
      <c r="M107" s="18">
        <f>IFERROR(IF(Raw_Data!M107="","",VALUE(Raw_Data!M107)),"")</f>
        <v>53.1</v>
      </c>
      <c r="N107" s="18">
        <f>IFERROR(IF(Raw_Data!N107="","",VALUE(Raw_Data!N107)),"")</f>
        <v>0</v>
      </c>
      <c r="O107" s="18">
        <f t="shared" si="3"/>
        <v>-53.1</v>
      </c>
      <c r="P107" s="5" t="str">
        <f>TRIM(CLEAN(Raw_Data!P107))</f>
        <v>Rescheduled</v>
      </c>
    </row>
    <row r="108" spans="1:16" x14ac:dyDescent="0.3">
      <c r="A108" s="2" t="str">
        <f>TRIM(CLEAN(Raw_Data!A108))</f>
        <v>TSK-0107</v>
      </c>
      <c r="B108" s="2" t="str">
        <f>TRIM(CLEAN(Raw_Data!B108))</f>
        <v>Website Redesign</v>
      </c>
      <c r="C108" s="2" t="str">
        <f>IFERROR(VLOOKUP(TRIM(CLEAN(Raw_Data!C108)),Lookup_Lists!$G:$H,2,FALSE()),TRIM(CLEAN(Raw_Data!C108)))</f>
        <v>Operations</v>
      </c>
      <c r="D108" s="2" t="str">
        <f>TRIM(CLEAN(Raw_Data!D108))</f>
        <v>Vikram Singh</v>
      </c>
      <c r="E108" s="2" t="str">
        <f>IFERROR(VLOOKUP(TRIM(CLEAN(Raw_Data!E108)),Lookup_Lists!$M:$N,2,FALSE()),TRIM(CLEAN(Raw_Data!E108)))</f>
        <v>Developer</v>
      </c>
      <c r="F108" s="2" t="str">
        <f>IFERROR(VLOOKUP(TRIM(CLEAN(Raw_Data!F108)),Lookup_Lists!$A:$B,2,FALSE()),TRIM(CLEAN(Raw_Data!F108)))</f>
        <v>High</v>
      </c>
      <c r="G108" s="2" t="str">
        <f>IFERROR(VLOOKUP(TRIM(CLEAN(Raw_Data!G108)),Lookup_Lists!$J:$K,2,FALSE()),TRIM(CLEAN(Raw_Data!G108)))</f>
        <v>Planning</v>
      </c>
      <c r="H108" s="10">
        <f>IF(Raw_Data!H108="","",Raw_Data!H108)</f>
        <v>45688</v>
      </c>
      <c r="I108" s="10">
        <f>IF(Raw_Data!I108="","",Raw_Data!I108)</f>
        <v>45724</v>
      </c>
      <c r="J108" s="10" t="str">
        <f>IF(Raw_Data!J108="","",Raw_Data!J108)</f>
        <v/>
      </c>
      <c r="K108" s="2" t="str">
        <f>IFERROR(VLOOKUP(TRIM(CLEAN(Raw_Data!K108)),Lookup_Lists!$D:$E,2,FALSE()),TRIM(CLEAN(Raw_Data!K108)))</f>
        <v>In Progress</v>
      </c>
      <c r="L108" s="15">
        <f>IF(TRIM(CLEAN(Raw_Data!L108))="","",IFERROR(MIN(100,MAX(0,VALUE(SUBSTITUTE(TRIM(CLEAN(Raw_Data!L108)),"%",""))))/100,0))</f>
        <v>0.38</v>
      </c>
      <c r="M108" s="16">
        <f>IFERROR(IF(Raw_Data!M108="","",VALUE(Raw_Data!M108)),"")</f>
        <v>26.5</v>
      </c>
      <c r="N108" s="16">
        <f>IFERROR(IF(Raw_Data!N108="","",VALUE(Raw_Data!N108)),"")</f>
        <v>13.1</v>
      </c>
      <c r="O108" s="16">
        <f t="shared" si="3"/>
        <v>-13.4</v>
      </c>
      <c r="P108" s="2" t="str">
        <f>TRIM(CLEAN(Raw_Data!P108))</f>
        <v>Priority shifted</v>
      </c>
    </row>
    <row r="109" spans="1:16" x14ac:dyDescent="0.3">
      <c r="A109" s="5" t="str">
        <f>TRIM(CLEAN(Raw_Data!A109))</f>
        <v>TSK-0108</v>
      </c>
      <c r="B109" s="5" t="str">
        <f>TRIM(CLEAN(Raw_Data!B109))</f>
        <v>Website Redesign</v>
      </c>
      <c r="C109" s="5" t="str">
        <f>IFERROR(VLOOKUP(TRIM(CLEAN(Raw_Data!C109)),Lookup_Lists!$G:$H,2,FALSE()),TRIM(CLEAN(Raw_Data!C109)))</f>
        <v>HR</v>
      </c>
      <c r="D109" s="5" t="str">
        <f>TRIM(CLEAN(Raw_Data!D109))</f>
        <v>Karan Malhotra</v>
      </c>
      <c r="E109" s="5" t="str">
        <f>IFERROR(VLOOKUP(TRIM(CLEAN(Raw_Data!E109)),Lookup_Lists!$M:$N,2,FALSE()),TRIM(CLEAN(Raw_Data!E109)))</f>
        <v>Developer</v>
      </c>
      <c r="F109" s="5" t="str">
        <f>IFERROR(VLOOKUP(TRIM(CLEAN(Raw_Data!F109)),Lookup_Lists!$A:$B,2,FALSE()),TRIM(CLEAN(Raw_Data!F109)))</f>
        <v>Low</v>
      </c>
      <c r="G109" s="5" t="str">
        <f>IFERROR(VLOOKUP(TRIM(CLEAN(Raw_Data!G109)),Lookup_Lists!$J:$K,2,FALSE()),TRIM(CLEAN(Raw_Data!G109)))</f>
        <v>Review</v>
      </c>
      <c r="H109" s="13">
        <f>IF(Raw_Data!H109="","",Raw_Data!H109)</f>
        <v>45374</v>
      </c>
      <c r="I109" s="13">
        <f>IF(Raw_Data!I109="","",Raw_Data!I109)</f>
        <v>45389</v>
      </c>
      <c r="J109" s="13" t="str">
        <f>IF(Raw_Data!J109="","",Raw_Data!J109)</f>
        <v/>
      </c>
      <c r="K109" s="5" t="str">
        <f>IFERROR(VLOOKUP(TRIM(CLEAN(Raw_Data!K109)),Lookup_Lists!$D:$E,2,FALSE()),TRIM(CLEAN(Raw_Data!K109)))</f>
        <v>In Progress</v>
      </c>
      <c r="L109" s="17" t="str">
        <f>IF(TRIM(CLEAN(Raw_Data!L109))="","",IFERROR(MIN(100,MAX(0,VALUE(SUBSTITUTE(TRIM(CLEAN(Raw_Data!L109)),"%",""))))/100,0))</f>
        <v/>
      </c>
      <c r="M109" s="18">
        <f>IFERROR(IF(Raw_Data!M109="","",VALUE(Raw_Data!M109)),"")</f>
        <v>7.3</v>
      </c>
      <c r="N109" s="18">
        <f>IFERROR(IF(Raw_Data!N109="","",VALUE(Raw_Data!N109)),"")</f>
        <v>5.3</v>
      </c>
      <c r="O109" s="18">
        <f t="shared" si="3"/>
        <v>-2</v>
      </c>
      <c r="P109" s="5" t="str">
        <f>TRIM(CLEAN(Raw_Data!P109))</f>
        <v/>
      </c>
    </row>
    <row r="110" spans="1:16" x14ac:dyDescent="0.3">
      <c r="A110" s="2" t="str">
        <f>TRIM(CLEAN(Raw_Data!A110))</f>
        <v>TSK-0109</v>
      </c>
      <c r="B110" s="2" t="str">
        <f>TRIM(CLEAN(Raw_Data!B110))</f>
        <v>Employee Onboarding</v>
      </c>
      <c r="C110" s="2" t="str">
        <f>IFERROR(VLOOKUP(TRIM(CLEAN(Raw_Data!C110)),Lookup_Lists!$G:$H,2,FALSE()),TRIM(CLEAN(Raw_Data!C110)))</f>
        <v>Sales</v>
      </c>
      <c r="D110" s="2" t="str">
        <f>TRIM(CLEAN(Raw_Data!D110))</f>
        <v>Sneha Gupta</v>
      </c>
      <c r="E110" s="2" t="str">
        <f>IFERROR(VLOOKUP(TRIM(CLEAN(Raw_Data!E110)),Lookup_Lists!$M:$N,2,FALSE()),TRIM(CLEAN(Raw_Data!E110)))</f>
        <v>Manager</v>
      </c>
      <c r="F110" s="2" t="str">
        <f>IFERROR(VLOOKUP(TRIM(CLEAN(Raw_Data!F110)),Lookup_Lists!$A:$B,2,FALSE()),TRIM(CLEAN(Raw_Data!F110)))</f>
        <v>Medium</v>
      </c>
      <c r="G110" s="2" t="str">
        <f>IFERROR(VLOOKUP(TRIM(CLEAN(Raw_Data!G110)),Lookup_Lists!$J:$K,2,FALSE()),TRIM(CLEAN(Raw_Data!G110)))</f>
        <v>Deployment</v>
      </c>
      <c r="H110" s="10">
        <f>IF(Raw_Data!H110="","",Raw_Data!H110)</f>
        <v>45395</v>
      </c>
      <c r="I110" s="10">
        <f>IF(Raw_Data!I110="","",Raw_Data!I110)</f>
        <v>45423</v>
      </c>
      <c r="J110" s="10" t="str">
        <f>IF(Raw_Data!J110="","",Raw_Data!J110)</f>
        <v/>
      </c>
      <c r="K110" s="2" t="str">
        <f>IFERROR(VLOOKUP(TRIM(CLEAN(Raw_Data!K110)),Lookup_Lists!$D:$E,2,FALSE()),TRIM(CLEAN(Raw_Data!K110)))</f>
        <v>On Hold</v>
      </c>
      <c r="L110" s="15" t="str">
        <f>IF(TRIM(CLEAN(Raw_Data!L110))="","",IFERROR(MIN(100,MAX(0,VALUE(SUBSTITUTE(TRIM(CLEAN(Raw_Data!L110)),"%",""))))/100,0))</f>
        <v/>
      </c>
      <c r="M110" s="16">
        <f>IFERROR(IF(Raw_Data!M110="","",VALUE(Raw_Data!M110)),"")</f>
        <v>63.1</v>
      </c>
      <c r="N110" s="16" t="str">
        <f>IFERROR(IF(Raw_Data!N110="","",VALUE(Raw_Data!N110)),"")</f>
        <v/>
      </c>
      <c r="O110" s="16" t="str">
        <f t="shared" si="3"/>
        <v/>
      </c>
      <c r="P110" s="2" t="str">
        <f>TRIM(CLEAN(Raw_Data!P110))</f>
        <v>Rescheduled</v>
      </c>
    </row>
    <row r="111" spans="1:16" x14ac:dyDescent="0.3">
      <c r="A111" s="5" t="str">
        <f>TRIM(CLEAN(Raw_Data!A111))</f>
        <v>TSK-0110</v>
      </c>
      <c r="B111" s="5" t="str">
        <f>TRIM(CLEAN(Raw_Data!B111))</f>
        <v>Annual Audit</v>
      </c>
      <c r="C111" s="5" t="str">
        <f>IFERROR(VLOOKUP(TRIM(CLEAN(Raw_Data!C111)),Lookup_Lists!$G:$H,2,FALSE()),TRIM(CLEAN(Raw_Data!C111)))</f>
        <v>Marketing</v>
      </c>
      <c r="D111" s="5" t="str">
        <f>TRIM(CLEAN(Raw_Data!D111))</f>
        <v>Sanjay Kulkarni</v>
      </c>
      <c r="E111" s="5" t="str">
        <f>IFERROR(VLOOKUP(TRIM(CLEAN(Raw_Data!E111)),Lookup_Lists!$M:$N,2,FALSE()),TRIM(CLEAN(Raw_Data!E111)))</f>
        <v>Developer</v>
      </c>
      <c r="F111" s="5" t="str">
        <f>IFERROR(VLOOKUP(TRIM(CLEAN(Raw_Data!F111)),Lookup_Lists!$A:$B,2,FALSE()),TRIM(CLEAN(Raw_Data!F111)))</f>
        <v>Critical</v>
      </c>
      <c r="G111" s="5" t="str">
        <f>IFERROR(VLOOKUP(TRIM(CLEAN(Raw_Data!G111)),Lookup_Lists!$J:$K,2,FALSE()),TRIM(CLEAN(Raw_Data!G111)))</f>
        <v>Research</v>
      </c>
      <c r="H111" s="13">
        <f>IF(Raw_Data!H111="","",Raw_Data!H111)</f>
        <v>45322</v>
      </c>
      <c r="I111" s="13">
        <f>IF(Raw_Data!I111="","",Raw_Data!I111)</f>
        <v>45368</v>
      </c>
      <c r="J111" s="13" t="str">
        <f>IF(Raw_Data!J111="","",Raw_Data!J111)</f>
        <v/>
      </c>
      <c r="K111" s="5" t="str">
        <f>IFERROR(VLOOKUP(TRIM(CLEAN(Raw_Data!K111)),Lookup_Lists!$D:$E,2,FALSE()),TRIM(CLEAN(Raw_Data!K111)))</f>
        <v>Cancelled</v>
      </c>
      <c r="L111" s="17" t="str">
        <f>IF(TRIM(CLEAN(Raw_Data!L111))="","",IFERROR(MIN(100,MAX(0,VALUE(SUBSTITUTE(TRIM(CLEAN(Raw_Data!L111)),"%",""))))/100,0))</f>
        <v/>
      </c>
      <c r="M111" s="18">
        <f>IFERROR(IF(Raw_Data!M111="","",VALUE(Raw_Data!M111)),"")</f>
        <v>46.1</v>
      </c>
      <c r="N111" s="18" t="str">
        <f>IFERROR(IF(Raw_Data!N111="","",VALUE(Raw_Data!N111)),"")</f>
        <v/>
      </c>
      <c r="O111" s="18" t="str">
        <f t="shared" si="3"/>
        <v/>
      </c>
      <c r="P111" s="5" t="str">
        <f>TRIM(CLEAN(Raw_Data!P111))</f>
        <v>no blockers</v>
      </c>
    </row>
    <row r="112" spans="1:16" x14ac:dyDescent="0.3">
      <c r="A112" s="2" t="str">
        <f>TRIM(CLEAN(Raw_Data!A112))</f>
        <v>TSK-0111</v>
      </c>
      <c r="B112" s="2" t="str">
        <f>TRIM(CLEAN(Raw_Data!B112))</f>
        <v>CRM Migration</v>
      </c>
      <c r="C112" s="2" t="str">
        <f>IFERROR(VLOOKUP(TRIM(CLEAN(Raw_Data!C112)),Lookup_Lists!$G:$H,2,FALSE()),TRIM(CLEAN(Raw_Data!C112)))</f>
        <v>HR</v>
      </c>
      <c r="D112" s="2" t="str">
        <f>TRIM(CLEAN(Raw_Data!D112))</f>
        <v>Priya Patel</v>
      </c>
      <c r="E112" s="2" t="str">
        <f>IFERROR(VLOOKUP(TRIM(CLEAN(Raw_Data!E112)),Lookup_Lists!$M:$N,2,FALSE()),TRIM(CLEAN(Raw_Data!E112)))</f>
        <v>Developer</v>
      </c>
      <c r="F112" s="2" t="str">
        <f>IFERROR(VLOOKUP(TRIM(CLEAN(Raw_Data!F112)),Lookup_Lists!$A:$B,2,FALSE()),TRIM(CLEAN(Raw_Data!F112)))</f>
        <v>Medium</v>
      </c>
      <c r="G112" s="2" t="str">
        <f>IFERROR(VLOOKUP(TRIM(CLEAN(Raw_Data!G112)),Lookup_Lists!$J:$K,2,FALSE()),TRIM(CLEAN(Raw_Data!G112)))</f>
        <v>Documentation</v>
      </c>
      <c r="H112" s="10">
        <f>IF(Raw_Data!H112="","",Raw_Data!H112)</f>
        <v>45558</v>
      </c>
      <c r="I112" s="10">
        <f>IF(Raw_Data!I112="","",Raw_Data!I112)</f>
        <v>45572</v>
      </c>
      <c r="J112" s="10" t="str">
        <f>IF(Raw_Data!J112="","",Raw_Data!J112)</f>
        <v/>
      </c>
      <c r="K112" s="2" t="str">
        <f>IFERROR(VLOOKUP(TRIM(CLEAN(Raw_Data!K112)),Lookup_Lists!$D:$E,2,FALSE()),TRIM(CLEAN(Raw_Data!K112)))</f>
        <v>On Hold</v>
      </c>
      <c r="L112" s="15">
        <f>IF(TRIM(CLEAN(Raw_Data!L112))="","",IFERROR(MIN(100,MAX(0,VALUE(SUBSTITUTE(TRIM(CLEAN(Raw_Data!L112)),"%",""))))/100,0))</f>
        <v>0.1</v>
      </c>
      <c r="M112" s="16">
        <f>IFERROR(IF(Raw_Data!M112="","",VALUE(Raw_Data!M112)),"")</f>
        <v>66.099999999999994</v>
      </c>
      <c r="N112" s="16">
        <f>IFERROR(IF(Raw_Data!N112="","",VALUE(Raw_Data!N112)),"")</f>
        <v>0</v>
      </c>
      <c r="O112" s="16">
        <f t="shared" si="3"/>
        <v>-66.099999999999994</v>
      </c>
      <c r="P112" s="2" t="str">
        <f>TRIM(CLEAN(Raw_Data!P112))</f>
        <v>Waiting for client feedback</v>
      </c>
    </row>
    <row r="113" spans="1:16" x14ac:dyDescent="0.3">
      <c r="A113" s="5" t="str">
        <f>TRIM(CLEAN(Raw_Data!A113))</f>
        <v>TSK-0112</v>
      </c>
      <c r="B113" s="5" t="str">
        <f>TRIM(CLEAN(Raw_Data!B113))</f>
        <v>Website Redesign</v>
      </c>
      <c r="C113" s="5" t="str">
        <f>IFERROR(VLOOKUP(TRIM(CLEAN(Raw_Data!C113)),Lookup_Lists!$G:$H,2,FALSE()),TRIM(CLEAN(Raw_Data!C113)))</f>
        <v>Operations</v>
      </c>
      <c r="D113" s="5" t="str">
        <f>TRIM(CLEAN(Raw_Data!D113))</f>
        <v>Deepak Nair</v>
      </c>
      <c r="E113" s="5" t="str">
        <f>IFERROR(VLOOKUP(TRIM(CLEAN(Raw_Data!E113)),Lookup_Lists!$M:$N,2,FALSE()),TRIM(CLEAN(Raw_Data!E113)))</f>
        <v>Tester</v>
      </c>
      <c r="F113" s="5" t="str">
        <f>IFERROR(VLOOKUP(TRIM(CLEAN(Raw_Data!F113)),Lookup_Lists!$A:$B,2,FALSE()),TRIM(CLEAN(Raw_Data!F113)))</f>
        <v>High</v>
      </c>
      <c r="G113" s="5" t="str">
        <f>IFERROR(VLOOKUP(TRIM(CLEAN(Raw_Data!G113)),Lookup_Lists!$J:$K,2,FALSE()),TRIM(CLEAN(Raw_Data!G113)))</f>
        <v>Review</v>
      </c>
      <c r="H113" s="13">
        <f>IF(Raw_Data!H113="","",Raw_Data!H113)</f>
        <v>45337</v>
      </c>
      <c r="I113" s="13">
        <f>IF(Raw_Data!I113="","",Raw_Data!I113)</f>
        <v>45365</v>
      </c>
      <c r="J113" s="13" t="str">
        <f>IF(Raw_Data!J113="","",Raw_Data!J113)</f>
        <v/>
      </c>
      <c r="K113" s="5" t="str">
        <f>IFERROR(VLOOKUP(TRIM(CLEAN(Raw_Data!K113)),Lookup_Lists!$D:$E,2,FALSE()),TRIM(CLEAN(Raw_Data!K113)))</f>
        <v>In Progress</v>
      </c>
      <c r="L113" s="17">
        <f>IF(TRIM(CLEAN(Raw_Data!L113))="","",IFERROR(MIN(100,MAX(0,VALUE(SUBSTITUTE(TRIM(CLEAN(Raw_Data!L113)),"%",""))))/100,0))</f>
        <v>0.36</v>
      </c>
      <c r="M113" s="18">
        <f>IFERROR(IF(Raw_Data!M113="","",VALUE(Raw_Data!M113)),"")</f>
        <v>64.099999999999994</v>
      </c>
      <c r="N113" s="18" t="str">
        <f>IFERROR(IF(Raw_Data!N113="","",VALUE(Raw_Data!N113)),"")</f>
        <v/>
      </c>
      <c r="O113" s="18" t="str">
        <f t="shared" si="3"/>
        <v/>
      </c>
      <c r="P113" s="5" t="str">
        <f>TRIM(CLEAN(Raw_Data!P113))</f>
        <v>Scope changed mid-sprint</v>
      </c>
    </row>
    <row r="114" spans="1:16" x14ac:dyDescent="0.3">
      <c r="A114" s="2" t="str">
        <f>TRIM(CLEAN(Raw_Data!A114))</f>
        <v>TSK-0113</v>
      </c>
      <c r="B114" s="2" t="str">
        <f>TRIM(CLEAN(Raw_Data!B114))</f>
        <v>Annual Audit</v>
      </c>
      <c r="C114" s="2" t="str">
        <f>IFERROR(VLOOKUP(TRIM(CLEAN(Raw_Data!C114)),Lookup_Lists!$G:$H,2,FALSE()),TRIM(CLEAN(Raw_Data!C114)))</f>
        <v>Sales</v>
      </c>
      <c r="D114" s="2" t="str">
        <f>TRIM(CLEAN(Raw_Data!D114))</f>
        <v>Kavita Rao</v>
      </c>
      <c r="E114" s="2" t="str">
        <f>IFERROR(VLOOKUP(TRIM(CLEAN(Raw_Data!E114)),Lookup_Lists!$M:$N,2,FALSE()),TRIM(CLEAN(Raw_Data!E114)))</f>
        <v>Analyst</v>
      </c>
      <c r="F114" s="2" t="str">
        <f>IFERROR(VLOOKUP(TRIM(CLEAN(Raw_Data!F114)),Lookup_Lists!$A:$B,2,FALSE()),TRIM(CLEAN(Raw_Data!F114)))</f>
        <v>Critical</v>
      </c>
      <c r="G114" s="2" t="str">
        <f>IFERROR(VLOOKUP(TRIM(CLEAN(Raw_Data!G114)),Lookup_Lists!$J:$K,2,FALSE()),TRIM(CLEAN(Raw_Data!G114)))</f>
        <v>Development</v>
      </c>
      <c r="H114" s="10">
        <f>IF(Raw_Data!H114="","",Raw_Data!H114)</f>
        <v>45305</v>
      </c>
      <c r="I114" s="10">
        <f>IF(Raw_Data!I114="","",Raw_Data!I114)</f>
        <v>45326</v>
      </c>
      <c r="J114" s="10" t="str">
        <f>IF(Raw_Data!J114="","",Raw_Data!J114)</f>
        <v/>
      </c>
      <c r="K114" s="2" t="str">
        <f>IFERROR(VLOOKUP(TRIM(CLEAN(Raw_Data!K114)),Lookup_Lists!$D:$E,2,FALSE()),TRIM(CLEAN(Raw_Data!K114)))</f>
        <v>In Progress</v>
      </c>
      <c r="L114" s="15" t="str">
        <f>IF(TRIM(CLEAN(Raw_Data!L114))="","",IFERROR(MIN(100,MAX(0,VALUE(SUBSTITUTE(TRIM(CLEAN(Raw_Data!L114)),"%",""))))/100,0))</f>
        <v/>
      </c>
      <c r="M114" s="16">
        <f>IFERROR(IF(Raw_Data!M114="","",VALUE(Raw_Data!M114)),"")</f>
        <v>12.5</v>
      </c>
      <c r="N114" s="16" t="str">
        <f>IFERROR(IF(Raw_Data!N114="","",VALUE(Raw_Data!N114)),"")</f>
        <v/>
      </c>
      <c r="O114" s="16" t="str">
        <f t="shared" si="3"/>
        <v/>
      </c>
      <c r="P114" s="2" t="str">
        <f>TRIM(CLEAN(Raw_Data!P114))</f>
        <v>Scope changed mid-sprint</v>
      </c>
    </row>
    <row r="115" spans="1:16" x14ac:dyDescent="0.3">
      <c r="A115" s="5" t="str">
        <f>TRIM(CLEAN(Raw_Data!A115))</f>
        <v>TSK-0114</v>
      </c>
      <c r="B115" s="5" t="str">
        <f>TRIM(CLEAN(Raw_Data!B115))</f>
        <v>Website Redesign</v>
      </c>
      <c r="C115" s="5" t="str">
        <f>IFERROR(VLOOKUP(TRIM(CLEAN(Raw_Data!C115)),Lookup_Lists!$G:$H,2,FALSE()),TRIM(CLEAN(Raw_Data!C115)))</f>
        <v>Marketing</v>
      </c>
      <c r="D115" s="5" t="str">
        <f>TRIM(CLEAN(Raw_Data!D115))</f>
        <v>Arjun Mehta</v>
      </c>
      <c r="E115" s="5" t="str">
        <f>IFERROR(VLOOKUP(TRIM(CLEAN(Raw_Data!E115)),Lookup_Lists!$M:$N,2,FALSE()),TRIM(CLEAN(Raw_Data!E115)))</f>
        <v>Coordinator</v>
      </c>
      <c r="F115" s="5" t="str">
        <f>IFERROR(VLOOKUP(TRIM(CLEAN(Raw_Data!F115)),Lookup_Lists!$A:$B,2,FALSE()),TRIM(CLEAN(Raw_Data!F115)))</f>
        <v>High</v>
      </c>
      <c r="G115" s="5" t="str">
        <f>IFERROR(VLOOKUP(TRIM(CLEAN(Raw_Data!G115)),Lookup_Lists!$J:$K,2,FALSE()),TRIM(CLEAN(Raw_Data!G115)))</f>
        <v>Testing</v>
      </c>
      <c r="H115" s="13">
        <f>IF(Raw_Data!H115="","",Raw_Data!H115)</f>
        <v>45551</v>
      </c>
      <c r="I115" s="13">
        <f>IF(Raw_Data!I115="","",Raw_Data!I115)</f>
        <v>45594</v>
      </c>
      <c r="J115" s="13">
        <f>IF(Raw_Data!J115="","",Raw_Data!J115)</f>
        <v>45604</v>
      </c>
      <c r="K115" s="5" t="str">
        <f>IFERROR(VLOOKUP(TRIM(CLEAN(Raw_Data!K115)),Lookup_Lists!$D:$E,2,FALSE()),TRIM(CLEAN(Raw_Data!K115)))</f>
        <v>Completed</v>
      </c>
      <c r="L115" s="17">
        <f>IF(TRIM(CLEAN(Raw_Data!L115))="","",IFERROR(MIN(100,MAX(0,VALUE(SUBSTITUTE(TRIM(CLEAN(Raw_Data!L115)),"%",""))))/100,0))</f>
        <v>1</v>
      </c>
      <c r="M115" s="18">
        <f>IFERROR(IF(Raw_Data!M115="","",VALUE(Raw_Data!M115)),"")</f>
        <v>47.7</v>
      </c>
      <c r="N115" s="18">
        <f>IFERROR(IF(Raw_Data!N115="","",VALUE(Raw_Data!N115)),"")</f>
        <v>61.4</v>
      </c>
      <c r="O115" s="18">
        <f t="shared" si="3"/>
        <v>13.699999999999996</v>
      </c>
      <c r="P115" s="5" t="str">
        <f>TRIM(CLEAN(Raw_Data!P115))</f>
        <v>Scope changed mid-sprint</v>
      </c>
    </row>
    <row r="116" spans="1:16" x14ac:dyDescent="0.3">
      <c r="A116" s="2" t="str">
        <f>TRIM(CLEAN(Raw_Data!A116))</f>
        <v>TSK-0115</v>
      </c>
      <c r="B116" s="2" t="str">
        <f>TRIM(CLEAN(Raw_Data!B116))</f>
        <v>Mobile App v2</v>
      </c>
      <c r="C116" s="2" t="str">
        <f>IFERROR(VLOOKUP(TRIM(CLEAN(Raw_Data!C116)),Lookup_Lists!$G:$H,2,FALSE()),TRIM(CLEAN(Raw_Data!C116)))</f>
        <v>Operations</v>
      </c>
      <c r="D116" s="2" t="str">
        <f>TRIM(CLEAN(Raw_Data!D116))</f>
        <v>Sneha Gupta</v>
      </c>
      <c r="E116" s="2" t="str">
        <f>IFERROR(VLOOKUP(TRIM(CLEAN(Raw_Data!E116)),Lookup_Lists!$M:$N,2,FALSE()),TRIM(CLEAN(Raw_Data!E116)))</f>
        <v>Coordinator</v>
      </c>
      <c r="F116" s="2" t="str">
        <f>IFERROR(VLOOKUP(TRIM(CLEAN(Raw_Data!F116)),Lookup_Lists!$A:$B,2,FALSE()),TRIM(CLEAN(Raw_Data!F116)))</f>
        <v>High</v>
      </c>
      <c r="G116" s="2" t="str">
        <f>IFERROR(VLOOKUP(TRIM(CLEAN(Raw_Data!G116)),Lookup_Lists!$J:$K,2,FALSE()),TRIM(CLEAN(Raw_Data!G116)))</f>
        <v>Development</v>
      </c>
      <c r="H116" s="10">
        <f>IF(Raw_Data!H116="","",Raw_Data!H116)</f>
        <v>45564</v>
      </c>
      <c r="I116" s="10">
        <f>IF(Raw_Data!I116="","",Raw_Data!I116)</f>
        <v>45592</v>
      </c>
      <c r="J116" s="10">
        <f>IF(Raw_Data!J116="","",Raw_Data!J116)</f>
        <v>45598</v>
      </c>
      <c r="K116" s="2" t="str">
        <f>IFERROR(VLOOKUP(TRIM(CLEAN(Raw_Data!K116)),Lookup_Lists!$D:$E,2,FALSE()),TRIM(CLEAN(Raw_Data!K116)))</f>
        <v>Completed</v>
      </c>
      <c r="L116" s="15">
        <f>IF(TRIM(CLEAN(Raw_Data!L116))="","",IFERROR(MIN(100,MAX(0,VALUE(SUBSTITUTE(TRIM(CLEAN(Raw_Data!L116)),"%",""))))/100,0))</f>
        <v>1</v>
      </c>
      <c r="M116" s="16">
        <f>IFERROR(IF(Raw_Data!M116="","",VALUE(Raw_Data!M116)),"")</f>
        <v>42.6</v>
      </c>
      <c r="N116" s="16">
        <f>IFERROR(IF(Raw_Data!N116="","",VALUE(Raw_Data!N116)),"")</f>
        <v>67.099999999999994</v>
      </c>
      <c r="O116" s="16">
        <f t="shared" si="3"/>
        <v>24.499999999999993</v>
      </c>
      <c r="P116" s="2" t="str">
        <f>TRIM(CLEAN(Raw_Data!P116))</f>
        <v>Priority shifted</v>
      </c>
    </row>
    <row r="117" spans="1:16" x14ac:dyDescent="0.3">
      <c r="A117" s="5" t="str">
        <f>TRIM(CLEAN(Raw_Data!A117))</f>
        <v>TSK-0116</v>
      </c>
      <c r="B117" s="5" t="str">
        <f>TRIM(CLEAN(Raw_Data!B117))</f>
        <v>Data Analytics Platform</v>
      </c>
      <c r="C117" s="5" t="str">
        <f>IFERROR(VLOOKUP(TRIM(CLEAN(Raw_Data!C117)),Lookup_Lists!$G:$H,2,FALSE()),TRIM(CLEAN(Raw_Data!C117)))</f>
        <v>IT</v>
      </c>
      <c r="D117" s="5" t="str">
        <f>TRIM(CLEAN(Raw_Data!D117))</f>
        <v>Rohan Iyer</v>
      </c>
      <c r="E117" s="5" t="str">
        <f>IFERROR(VLOOKUP(TRIM(CLEAN(Raw_Data!E117)),Lookup_Lists!$M:$N,2,FALSE()),TRIM(CLEAN(Raw_Data!E117)))</f>
        <v>Tester</v>
      </c>
      <c r="F117" s="5" t="str">
        <f>IFERROR(VLOOKUP(TRIM(CLEAN(Raw_Data!F117)),Lookup_Lists!$A:$B,2,FALSE()),TRIM(CLEAN(Raw_Data!F117)))</f>
        <v>Medium</v>
      </c>
      <c r="G117" s="5" t="str">
        <f>IFERROR(VLOOKUP(TRIM(CLEAN(Raw_Data!G117)),Lookup_Lists!$J:$K,2,FALSE()),TRIM(CLEAN(Raw_Data!G117)))</f>
        <v>Research</v>
      </c>
      <c r="H117" s="13">
        <f>IF(Raw_Data!H117="","",Raw_Data!H117)</f>
        <v>45678</v>
      </c>
      <c r="I117" s="13">
        <f>IF(Raw_Data!I117="","",Raw_Data!I117)</f>
        <v>45684</v>
      </c>
      <c r="J117" s="13" t="str">
        <f>IF(Raw_Data!J117="","",Raw_Data!J117)</f>
        <v/>
      </c>
      <c r="K117" s="5" t="str">
        <f>IFERROR(VLOOKUP(TRIM(CLEAN(Raw_Data!K117)),Lookup_Lists!$D:$E,2,FALSE()),TRIM(CLEAN(Raw_Data!K117)))</f>
        <v>Not Started</v>
      </c>
      <c r="L117" s="17">
        <f>IF(TRIM(CLEAN(Raw_Data!L117))="","",IFERROR(MIN(100,MAX(0,VALUE(SUBSTITUTE(TRIM(CLEAN(Raw_Data!L117)),"%",""))))/100,0))</f>
        <v>0</v>
      </c>
      <c r="M117" s="18">
        <f>IFERROR(IF(Raw_Data!M117="","",VALUE(Raw_Data!M117)),"")</f>
        <v>30.2</v>
      </c>
      <c r="N117" s="18" t="str">
        <f>IFERROR(IF(Raw_Data!N117="","",VALUE(Raw_Data!N117)),"")</f>
        <v/>
      </c>
      <c r="O117" s="18" t="str">
        <f t="shared" si="3"/>
        <v/>
      </c>
      <c r="P117" s="5" t="str">
        <f>TRIM(CLEAN(Raw_Data!P117))</f>
        <v>final review stage</v>
      </c>
    </row>
    <row r="118" spans="1:16" x14ac:dyDescent="0.3">
      <c r="A118" s="2" t="str">
        <f>TRIM(CLEAN(Raw_Data!A118))</f>
        <v>TSK-0117</v>
      </c>
      <c r="B118" s="2" t="str">
        <f>TRIM(CLEAN(Raw_Data!B118))</f>
        <v>Mobile App v2</v>
      </c>
      <c r="C118" s="2" t="str">
        <f>IFERROR(VLOOKUP(TRIM(CLEAN(Raw_Data!C118)),Lookup_Lists!$G:$H,2,FALSE()),TRIM(CLEAN(Raw_Data!C118)))</f>
        <v>HR</v>
      </c>
      <c r="D118" s="2" t="str">
        <f>TRIM(CLEAN(Raw_Data!D118))</f>
        <v>Amit Verma</v>
      </c>
      <c r="E118" s="2" t="str">
        <f>IFERROR(VLOOKUP(TRIM(CLEAN(Raw_Data!E118)),Lookup_Lists!$M:$N,2,FALSE()),TRIM(CLEAN(Raw_Data!E118)))</f>
        <v>Analyst</v>
      </c>
      <c r="F118" s="2" t="str">
        <f>IFERROR(VLOOKUP(TRIM(CLEAN(Raw_Data!F118)),Lookup_Lists!$A:$B,2,FALSE()),TRIM(CLEAN(Raw_Data!F118)))</f>
        <v>Medium</v>
      </c>
      <c r="G118" s="2" t="str">
        <f>IFERROR(VLOOKUP(TRIM(CLEAN(Raw_Data!G118)),Lookup_Lists!$J:$K,2,FALSE()),TRIM(CLEAN(Raw_Data!G118)))</f>
        <v>Planning</v>
      </c>
      <c r="H118" s="10">
        <f>IF(Raw_Data!H118="","",Raw_Data!H118)</f>
        <v>45625</v>
      </c>
      <c r="I118" s="10">
        <f>IF(Raw_Data!I118="","",Raw_Data!I118)</f>
        <v>45641</v>
      </c>
      <c r="J118" s="10" t="str">
        <f>IF(Raw_Data!J118="","",Raw_Data!J118)</f>
        <v/>
      </c>
      <c r="K118" s="2" t="str">
        <f>IFERROR(VLOOKUP(TRIM(CLEAN(Raw_Data!K118)),Lookup_Lists!$D:$E,2,FALSE()),TRIM(CLEAN(Raw_Data!K118)))</f>
        <v>On Hold</v>
      </c>
      <c r="L118" s="15" t="str">
        <f>IF(TRIM(CLEAN(Raw_Data!L118))="","",IFERROR(MIN(100,MAX(0,VALUE(SUBSTITUTE(TRIM(CLEAN(Raw_Data!L118)),"%",""))))/100,0))</f>
        <v/>
      </c>
      <c r="M118" s="16">
        <f>IFERROR(IF(Raw_Data!M118="","",VALUE(Raw_Data!M118)),"")</f>
        <v>17.899999999999999</v>
      </c>
      <c r="N118" s="16" t="str">
        <f>IFERROR(IF(Raw_Data!N118="","",VALUE(Raw_Data!N118)),"")</f>
        <v/>
      </c>
      <c r="O118" s="16" t="str">
        <f t="shared" si="3"/>
        <v/>
      </c>
      <c r="P118" s="2" t="str">
        <f>TRIM(CLEAN(Raw_Data!P118))</f>
        <v>On track</v>
      </c>
    </row>
    <row r="119" spans="1:16" x14ac:dyDescent="0.3">
      <c r="A119" s="5" t="str">
        <f>TRIM(CLEAN(Raw_Data!A119))</f>
        <v>TSK-0118</v>
      </c>
      <c r="B119" s="5" t="str">
        <f>TRIM(CLEAN(Raw_Data!B119))</f>
        <v>Website Redesign</v>
      </c>
      <c r="C119" s="5" t="str">
        <f>IFERROR(VLOOKUP(TRIM(CLEAN(Raw_Data!C119)),Lookup_Lists!$G:$H,2,FALSE()),TRIM(CLEAN(Raw_Data!C119)))</f>
        <v>HR</v>
      </c>
      <c r="D119" s="5" t="str">
        <f>TRIM(CLEAN(Raw_Data!D119))</f>
        <v>Sneha Gupta</v>
      </c>
      <c r="E119" s="5" t="str">
        <f>IFERROR(VLOOKUP(TRIM(CLEAN(Raw_Data!E119)),Lookup_Lists!$M:$N,2,FALSE()),TRIM(CLEAN(Raw_Data!E119)))</f>
        <v>Analyst</v>
      </c>
      <c r="F119" s="5" t="str">
        <f>IFERROR(VLOOKUP(TRIM(CLEAN(Raw_Data!F119)),Lookup_Lists!$A:$B,2,FALSE()),TRIM(CLEAN(Raw_Data!F119)))</f>
        <v>Critical</v>
      </c>
      <c r="G119" s="5" t="str">
        <f>IFERROR(VLOOKUP(TRIM(CLEAN(Raw_Data!G119)),Lookup_Lists!$J:$K,2,FALSE()),TRIM(CLEAN(Raw_Data!G119)))</f>
        <v>Design</v>
      </c>
      <c r="H119" s="13">
        <f>IF(Raw_Data!H119="","",Raw_Data!H119)</f>
        <v>45317</v>
      </c>
      <c r="I119" s="13">
        <f>IF(Raw_Data!I119="","",Raw_Data!I119)</f>
        <v>45342</v>
      </c>
      <c r="J119" s="13" t="str">
        <f>IF(Raw_Data!J119="","",Raw_Data!J119)</f>
        <v/>
      </c>
      <c r="K119" s="5" t="str">
        <f>IFERROR(VLOOKUP(TRIM(CLEAN(Raw_Data!K119)),Lookup_Lists!$D:$E,2,FALSE()),TRIM(CLEAN(Raw_Data!K119)))</f>
        <v>Not Started</v>
      </c>
      <c r="L119" s="17" t="str">
        <f>IF(TRIM(CLEAN(Raw_Data!L119))="","",IFERROR(MIN(100,MAX(0,VALUE(SUBSTITUTE(TRIM(CLEAN(Raw_Data!L119)),"%",""))))/100,0))</f>
        <v/>
      </c>
      <c r="M119" s="18">
        <f>IFERROR(IF(Raw_Data!M119="","",VALUE(Raw_Data!M119)),"")</f>
        <v>34.299999999999997</v>
      </c>
      <c r="N119" s="18" t="str">
        <f>IFERROR(IF(Raw_Data!N119="","",VALUE(Raw_Data!N119)),"")</f>
        <v/>
      </c>
      <c r="O119" s="18" t="str">
        <f t="shared" si="3"/>
        <v/>
      </c>
      <c r="P119" s="5" t="str">
        <f>TRIM(CLEAN(Raw_Data!P119))</f>
        <v/>
      </c>
    </row>
    <row r="120" spans="1:16" x14ac:dyDescent="0.3">
      <c r="A120" s="2" t="str">
        <f>TRIM(CLEAN(Raw_Data!A120))</f>
        <v>TSK-0119</v>
      </c>
      <c r="B120" s="2" t="str">
        <f>TRIM(CLEAN(Raw_Data!B120))</f>
        <v>Website Redesign</v>
      </c>
      <c r="C120" s="2" t="str">
        <f>IFERROR(VLOOKUP(TRIM(CLEAN(Raw_Data!C120)),Lookup_Lists!$G:$H,2,FALSE()),TRIM(CLEAN(Raw_Data!C120)))</f>
        <v>Marketing</v>
      </c>
      <c r="D120" s="2" t="str">
        <f>TRIM(CLEAN(Raw_Data!D120))</f>
        <v>Vikram Singh</v>
      </c>
      <c r="E120" s="2" t="str">
        <f>IFERROR(VLOOKUP(TRIM(CLEAN(Raw_Data!E120)),Lookup_Lists!$M:$N,2,FALSE()),TRIM(CLEAN(Raw_Data!E120)))</f>
        <v>Tester</v>
      </c>
      <c r="F120" s="2" t="str">
        <f>IFERROR(VLOOKUP(TRIM(CLEAN(Raw_Data!F120)),Lookup_Lists!$A:$B,2,FALSE()),TRIM(CLEAN(Raw_Data!F120)))</f>
        <v>Critical</v>
      </c>
      <c r="G120" s="2" t="str">
        <f>IFERROR(VLOOKUP(TRIM(CLEAN(Raw_Data!G120)),Lookup_Lists!$J:$K,2,FALSE()),TRIM(CLEAN(Raw_Data!G120)))</f>
        <v>Development</v>
      </c>
      <c r="H120" s="10">
        <f>IF(Raw_Data!H120="","",Raw_Data!H120)</f>
        <v>45631</v>
      </c>
      <c r="I120" s="10">
        <f>IF(Raw_Data!I120="","",Raw_Data!I120)</f>
        <v>45657</v>
      </c>
      <c r="J120" s="10" t="str">
        <f>IF(Raw_Data!J120="","",Raw_Data!J120)</f>
        <v/>
      </c>
      <c r="K120" s="2" t="str">
        <f>IFERROR(VLOOKUP(TRIM(CLEAN(Raw_Data!K120)),Lookup_Lists!$D:$E,2,FALSE()),TRIM(CLEAN(Raw_Data!K120)))</f>
        <v>Not Started</v>
      </c>
      <c r="L120" s="15">
        <f>IF(TRIM(CLEAN(Raw_Data!L120))="","",IFERROR(MIN(100,MAX(0,VALUE(SUBSTITUTE(TRIM(CLEAN(Raw_Data!L120)),"%",""))))/100,0))</f>
        <v>0</v>
      </c>
      <c r="M120" s="16">
        <f>IFERROR(IF(Raw_Data!M120="","",VALUE(Raw_Data!M120)),"")</f>
        <v>64.8</v>
      </c>
      <c r="N120" s="16">
        <f>IFERROR(IF(Raw_Data!N120="","",VALUE(Raw_Data!N120)),"")</f>
        <v>0</v>
      </c>
      <c r="O120" s="16">
        <f t="shared" si="3"/>
        <v>-64.8</v>
      </c>
      <c r="P120" s="2" t="str">
        <f>TRIM(CLEAN(Raw_Data!P120))</f>
        <v/>
      </c>
    </row>
    <row r="121" spans="1:16" x14ac:dyDescent="0.3">
      <c r="A121" s="5" t="str">
        <f>TRIM(CLEAN(Raw_Data!A121))</f>
        <v>TSK-0120</v>
      </c>
      <c r="B121" s="5" t="str">
        <f>TRIM(CLEAN(Raw_Data!B121))</f>
        <v>Marketing Campaign</v>
      </c>
      <c r="C121" s="5" t="str">
        <f>IFERROR(VLOOKUP(TRIM(CLEAN(Raw_Data!C121)),Lookup_Lists!$G:$H,2,FALSE()),TRIM(CLEAN(Raw_Data!C121)))</f>
        <v>HR</v>
      </c>
      <c r="D121" s="5" t="str">
        <f>TRIM(CLEAN(Raw_Data!D121))</f>
        <v>Amit Verma</v>
      </c>
      <c r="E121" s="5" t="str">
        <f>IFERROR(VLOOKUP(TRIM(CLEAN(Raw_Data!E121)),Lookup_Lists!$M:$N,2,FALSE()),TRIM(CLEAN(Raw_Data!E121)))</f>
        <v>Lead</v>
      </c>
      <c r="F121" s="5" t="str">
        <f>IFERROR(VLOOKUP(TRIM(CLEAN(Raw_Data!F121)),Lookup_Lists!$A:$B,2,FALSE()),TRIM(CLEAN(Raw_Data!F121)))</f>
        <v>Low</v>
      </c>
      <c r="G121" s="5" t="str">
        <f>IFERROR(VLOOKUP(TRIM(CLEAN(Raw_Data!G121)),Lookup_Lists!$J:$K,2,FALSE()),TRIM(CLEAN(Raw_Data!G121)))</f>
        <v>Deployment</v>
      </c>
      <c r="H121" s="13">
        <f>IF(Raw_Data!H121="","",Raw_Data!H121)</f>
        <v>45484</v>
      </c>
      <c r="I121" s="13">
        <f>IF(Raw_Data!I121="","",Raw_Data!I121)</f>
        <v>45540</v>
      </c>
      <c r="J121" s="13" t="str">
        <f>IF(Raw_Data!J121="","",Raw_Data!J121)</f>
        <v/>
      </c>
      <c r="K121" s="5" t="str">
        <f>IFERROR(VLOOKUP(TRIM(CLEAN(Raw_Data!K121)),Lookup_Lists!$D:$E,2,FALSE()),TRIM(CLEAN(Raw_Data!K121)))</f>
        <v>Cancelled</v>
      </c>
      <c r="L121" s="17" t="str">
        <f>IF(TRIM(CLEAN(Raw_Data!L121))="","",IFERROR(MIN(100,MAX(0,VALUE(SUBSTITUTE(TRIM(CLEAN(Raw_Data!L121)),"%",""))))/100,0))</f>
        <v/>
      </c>
      <c r="M121" s="18">
        <f>IFERROR(IF(Raw_Data!M121="","",VALUE(Raw_Data!M121)),"")</f>
        <v>64.900000000000006</v>
      </c>
      <c r="N121" s="18" t="str">
        <f>IFERROR(IF(Raw_Data!N121="","",VALUE(Raw_Data!N121)),"")</f>
        <v/>
      </c>
      <c r="O121" s="18" t="str">
        <f t="shared" si="3"/>
        <v/>
      </c>
      <c r="P121" s="5" t="str">
        <f>TRIM(CLEAN(Raw_Data!P121))</f>
        <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33C00"/>
  </sheetPr>
  <dimension ref="A1:U121"/>
  <sheetViews>
    <sheetView topLeftCell="D1" zoomScaleNormal="100" workbookViewId="0">
      <pane ySplit="1" topLeftCell="A2" activePane="bottomLeft" state="frozen"/>
      <selection pane="bottomLeft"/>
    </sheetView>
  </sheetViews>
  <sheetFormatPr defaultColWidth="8.6640625" defaultRowHeight="14.4" x14ac:dyDescent="0.3"/>
  <cols>
    <col min="1" max="1" width="17" customWidth="1"/>
    <col min="2" max="14" width="28" customWidth="1"/>
    <col min="15" max="15" width="14" customWidth="1"/>
    <col min="16" max="21" width="28" customWidth="1"/>
  </cols>
  <sheetData>
    <row r="1" spans="1:21" ht="27.6" x14ac:dyDescent="0.3">
      <c r="A1" s="1" t="s">
        <v>0</v>
      </c>
      <c r="B1" s="1" t="s">
        <v>332</v>
      </c>
      <c r="C1" s="1" t="s">
        <v>333</v>
      </c>
      <c r="D1" s="1" t="s">
        <v>334</v>
      </c>
      <c r="E1" s="1" t="s">
        <v>335</v>
      </c>
      <c r="F1" s="1" t="s">
        <v>336</v>
      </c>
      <c r="G1" s="1" t="s">
        <v>337</v>
      </c>
      <c r="H1" s="1" t="s">
        <v>338</v>
      </c>
      <c r="I1" s="1" t="s">
        <v>339</v>
      </c>
      <c r="J1" s="1" t="s">
        <v>340</v>
      </c>
      <c r="K1" s="1" t="s">
        <v>341</v>
      </c>
      <c r="L1" s="1" t="s">
        <v>342</v>
      </c>
      <c r="M1" s="1" t="s">
        <v>343</v>
      </c>
      <c r="N1" s="1" t="s">
        <v>344</v>
      </c>
      <c r="O1" s="1" t="s">
        <v>345</v>
      </c>
      <c r="P1" s="1" t="s">
        <v>346</v>
      </c>
      <c r="Q1" s="1" t="s">
        <v>347</v>
      </c>
      <c r="R1" s="1" t="s">
        <v>348</v>
      </c>
      <c r="S1" s="1" t="s">
        <v>349</v>
      </c>
      <c r="T1" s="1" t="s">
        <v>350</v>
      </c>
      <c r="U1" s="1" t="s">
        <v>351</v>
      </c>
    </row>
    <row r="2" spans="1:21" x14ac:dyDescent="0.3">
      <c r="A2" s="2" t="str">
        <f>Clean_Data!A2</f>
        <v>TSK-0001</v>
      </c>
      <c r="B2" s="19" t="b">
        <f>Clean_Data!K2="Completed"</f>
        <v>1</v>
      </c>
      <c r="C2" s="19" t="b">
        <f>OR(Clean_Data!K2="Not Started",Clean_Data!K2="In Progress",Clean_Data!K2="On Hold")</f>
        <v>0</v>
      </c>
      <c r="D2" s="19" t="b">
        <f ca="1">AND(ISNUMBER(Clean_Data!I2),Clean_Data!I2&lt;TODAY(),Clean_Data!K2&lt;&gt;"Completed",Clean_Data!K2&lt;&gt;"Cancelled")</f>
        <v>0</v>
      </c>
      <c r="E2" s="2" t="str">
        <f ca="1">IF(AND(ISNUMBER(Clean_Data!H2),Clean_Data!K2&lt;&gt;"Completed",Clean_Data!K2&lt;&gt;"Cancelled"),TODAY()-Clean_Data!H2,"")</f>
        <v/>
      </c>
      <c r="F2" s="2">
        <f ca="1">IF(AND(B2=TRUE(),ISNUMBER(Clean_Data!J2),ISNUMBER(Clean_Data!I2)),MAX(0,Clean_Data!J2-Clean_Data!I2),IF(AND(B2=FALSE(),ISNUMBER(Clean_Data!I2),Clean_Data!I2&lt;TODAY(),Clean_Data!K2&lt;&gt;"Cancelled"),MAX(0,TODAY()-Clean_Data!I2),""))</f>
        <v>11</v>
      </c>
      <c r="G2" s="2">
        <f>IF(AND(B2=TRUE(),ISNUMBER(Clean_Data!J2),ISNUMBER(Clean_Data!H2)),Clean_Data!J2-Clean_Data!H2,"")</f>
        <v>63</v>
      </c>
      <c r="H2" s="2">
        <f ca="1">IF(AND(ISNUMBER(Clean_Data!J2),ISNUMBER(Clean_Data!H2)),Clean_Data!J2-Clean_Data!H2,IF(ISNUMBER(Clean_Data!H2),TODAY()-Clean_Data!H2,""))</f>
        <v>63</v>
      </c>
      <c r="I2" s="2" t="str">
        <f>IF(ISNUMBER(Clean_Data!I2),TEXT(Clean_Data!I2,"YYYY-MM"),"")</f>
        <v>2024-05</v>
      </c>
      <c r="J2" s="2" t="str">
        <f>IF(ISNUMBER(Clean_Data!H2),TEXT(Clean_Data!H2,"YYYY-MM"),"")</f>
        <v>2024-03</v>
      </c>
      <c r="K2" s="2" t="str">
        <f>IF(ISNUMBER(Clean_Data!J2),TEXT(Clean_Data!J2,"YYYY-MM"),"")</f>
        <v>2024-05</v>
      </c>
      <c r="L2" s="2">
        <f>IF(ISNUMBER(Clean_Data!H2),YEAR(Clean_Data!H2),"")</f>
        <v>2024</v>
      </c>
      <c r="M2" s="2">
        <f>IF(ISNUMBER(Clean_Data!H2),MONTH(Clean_Data!H2),"")</f>
        <v>3</v>
      </c>
      <c r="N2" s="2" t="str">
        <f>IF(ISNUMBER(Clean_Data!H2),TEXT(Clean_Data!H2,"MMMM"),"")</f>
        <v>March</v>
      </c>
      <c r="O2" s="19" t="b">
        <f t="shared" ref="O2:O33" ca="1" si="0">D2</f>
        <v>0</v>
      </c>
      <c r="P2" s="19" t="b">
        <f>AND(OR(Clean_Data!F2="High",Clean_Data!F2="Critical"),C2=TRUE())</f>
        <v>0</v>
      </c>
      <c r="Q2" s="19" t="b">
        <f ca="1">AND(OR(Clean_Data!F2="High",Clean_Data!F2="Critical"),D2=TRUE())</f>
        <v>0</v>
      </c>
      <c r="R2" s="19" t="b">
        <f ca="1">AND(Clean_Data!K2="In Progress",ISNUMBER(Clean_Data!H2),TODAY()-Clean_Data!H2&gt;30)</f>
        <v>0</v>
      </c>
      <c r="S2" s="2" t="str">
        <f>IF(B2=TRUE(),IF(AND(ISNUMBER(Clean_Data!N2),ISNUMBER(Clean_Data!M2),Clean_Data!M2&gt;0),IF(Clean_Data!N2&lt;=Clean_Data!M2*1.2,"Healthy","Over Budget"),"N/A"),IF(AND(Clean_Data!K2="In Progress",ISNUMBER(Clean_Data!L2)),IF(Clean_Data!L2&gt;=0.5,"On Track","Slow"),"N/A"))</f>
        <v>Healthy</v>
      </c>
      <c r="T2" s="19" t="b">
        <f>IF(AND(B2=TRUE(),ISNUMBER(Clean_Data!J2),ISNUMBER(Clean_Data!I2)),Clean_Data!J2&lt;=Clean_Data!I2,"")</f>
        <v>0</v>
      </c>
      <c r="U2" s="19" t="b">
        <f>IF(NOT(ISNUMBER(Clean_Data!L2)),FALSE(),AND(Clean_Data!L2&gt;=0,Clean_Data!L2&lt;=1))</f>
        <v>1</v>
      </c>
    </row>
    <row r="3" spans="1:21" x14ac:dyDescent="0.3">
      <c r="A3" s="5" t="str">
        <f>Clean_Data!A3</f>
        <v>TSK-0002</v>
      </c>
      <c r="B3" s="20" t="b">
        <f>Clean_Data!K3="Completed"</f>
        <v>0</v>
      </c>
      <c r="C3" s="20" t="b">
        <f>OR(Clean_Data!K3="Not Started",Clean_Data!K3="In Progress",Clean_Data!K3="On Hold")</f>
        <v>1</v>
      </c>
      <c r="D3" s="20" t="b">
        <f ca="1">AND(ISNUMBER(Clean_Data!I3),Clean_Data!I3&lt;TODAY(),Clean_Data!K3&lt;&gt;"Completed",Clean_Data!K3&lt;&gt;"Cancelled")</f>
        <v>1</v>
      </c>
      <c r="E3" s="5">
        <f ca="1">IF(AND(ISNUMBER(Clean_Data!H3),Clean_Data!K3&lt;&gt;"Completed",Clean_Data!K3&lt;&gt;"Cancelled"),TODAY()-Clean_Data!H3,"")</f>
        <v>464</v>
      </c>
      <c r="F3" s="5">
        <f ca="1">IF(AND(B3=TRUE(),ISNUMBER(Clean_Data!J3),ISNUMBER(Clean_Data!I3)),MAX(0,Clean_Data!J3-Clean_Data!I3),IF(AND(B3=FALSE(),ISNUMBER(Clean_Data!I3),Clean_Data!I3&lt;TODAY(),Clean_Data!K3&lt;&gt;"Cancelled"),MAX(0,TODAY()-Clean_Data!I3),""))</f>
        <v>418</v>
      </c>
      <c r="G3" s="5" t="str">
        <f>IF(AND(B3=TRUE(),ISNUMBER(Clean_Data!J3),ISNUMBER(Clean_Data!H3)),Clean_Data!J3-Clean_Data!H3,"")</f>
        <v/>
      </c>
      <c r="H3" s="5">
        <f ca="1">IF(AND(ISNUMBER(Clean_Data!J3),ISNUMBER(Clean_Data!H3)),Clean_Data!J3-Clean_Data!H3,IF(ISNUMBER(Clean_Data!H3),TODAY()-Clean_Data!H3,""))</f>
        <v>464</v>
      </c>
      <c r="I3" s="5" t="str">
        <f>IF(ISNUMBER(Clean_Data!I3),TEXT(Clean_Data!I3,"YYYY-MM"),"")</f>
        <v>2025-02</v>
      </c>
      <c r="J3" s="5" t="str">
        <f>IF(ISNUMBER(Clean_Data!H3),TEXT(Clean_Data!H3,"YYYY-MM"),"")</f>
        <v>2025-01</v>
      </c>
      <c r="K3" s="5" t="str">
        <f>IF(ISNUMBER(Clean_Data!J3),TEXT(Clean_Data!J3,"YYYY-MM"),"")</f>
        <v/>
      </c>
      <c r="L3" s="5">
        <f>IF(ISNUMBER(Clean_Data!H3),YEAR(Clean_Data!H3),"")</f>
        <v>2025</v>
      </c>
      <c r="M3" s="5">
        <f>IF(ISNUMBER(Clean_Data!H3),MONTH(Clean_Data!H3),"")</f>
        <v>1</v>
      </c>
      <c r="N3" s="5" t="str">
        <f>IF(ISNUMBER(Clean_Data!H3),TEXT(Clean_Data!H3,"MMMM"),"")</f>
        <v>January</v>
      </c>
      <c r="O3" s="20" t="b">
        <f t="shared" ca="1" si="0"/>
        <v>1</v>
      </c>
      <c r="P3" s="20" t="b">
        <f>AND(OR(Clean_Data!F3="High",Clean_Data!F3="Critical"),C3=TRUE())</f>
        <v>0</v>
      </c>
      <c r="Q3" s="20" t="b">
        <f ca="1">AND(OR(Clean_Data!F3="High",Clean_Data!F3="Critical"),D3=TRUE())</f>
        <v>0</v>
      </c>
      <c r="R3" s="20" t="b">
        <f ca="1">AND(Clean_Data!K3="In Progress",ISNUMBER(Clean_Data!H3),TODAY()-Clean_Data!H3&gt;30)</f>
        <v>0</v>
      </c>
      <c r="S3" s="5" t="str">
        <f>IF(B3=TRUE(),IF(AND(ISNUMBER(Clean_Data!N3),ISNUMBER(Clean_Data!M3),Clean_Data!M3&gt;0),IF(Clean_Data!N3&lt;=Clean_Data!M3*1.2,"Healthy","Over Budget"),"N/A"),IF(AND(Clean_Data!K3="In Progress",ISNUMBER(Clean_Data!L3)),IF(Clean_Data!L3&gt;=0.5,"On Track","Slow"),"N/A"))</f>
        <v>N/A</v>
      </c>
      <c r="T3" s="5" t="str">
        <f>IF(AND(B3=TRUE(),ISNUMBER(Clean_Data!J3),ISNUMBER(Clean_Data!I3)),Clean_Data!J3&lt;=Clean_Data!I3,"")</f>
        <v/>
      </c>
      <c r="U3" s="20" t="b">
        <f>IF(NOT(ISNUMBER(Clean_Data!L3)),FALSE(),AND(Clean_Data!L3&gt;=0,Clean_Data!L3&lt;=1))</f>
        <v>0</v>
      </c>
    </row>
    <row r="4" spans="1:21" x14ac:dyDescent="0.3">
      <c r="A4" s="2" t="str">
        <f>Clean_Data!A4</f>
        <v>TSK-0003</v>
      </c>
      <c r="B4" s="19" t="b">
        <f>Clean_Data!K4="Completed"</f>
        <v>0</v>
      </c>
      <c r="C4" s="19" t="b">
        <f>OR(Clean_Data!K4="Not Started",Clean_Data!K4="In Progress",Clean_Data!K4="On Hold")</f>
        <v>1</v>
      </c>
      <c r="D4" s="19" t="b">
        <f ca="1">AND(ISNUMBER(Clean_Data!I4),Clean_Data!I4&lt;TODAY(),Clean_Data!K4&lt;&gt;"Completed",Clean_Data!K4&lt;&gt;"Cancelled")</f>
        <v>1</v>
      </c>
      <c r="E4" s="2">
        <f ca="1">IF(AND(ISNUMBER(Clean_Data!H4),Clean_Data!K4&lt;&gt;"Completed",Clean_Data!K4&lt;&gt;"Cancelled"),TODAY()-Clean_Data!H4,"")</f>
        <v>778</v>
      </c>
      <c r="F4" s="2">
        <f ca="1">IF(AND(B4=TRUE(),ISNUMBER(Clean_Data!J4),ISNUMBER(Clean_Data!I4)),MAX(0,Clean_Data!J4-Clean_Data!I4),IF(AND(B4=FALSE(),ISNUMBER(Clean_Data!I4),Clean_Data!I4&lt;TODAY(),Clean_Data!K4&lt;&gt;"Cancelled"),MAX(0,TODAY()-Clean_Data!I4),""))</f>
        <v>768</v>
      </c>
      <c r="G4" s="2" t="str">
        <f>IF(AND(B4=TRUE(),ISNUMBER(Clean_Data!J4),ISNUMBER(Clean_Data!H4)),Clean_Data!J4-Clean_Data!H4,"")</f>
        <v/>
      </c>
      <c r="H4" s="2">
        <f ca="1">IF(AND(ISNUMBER(Clean_Data!J4),ISNUMBER(Clean_Data!H4)),Clean_Data!J4-Clean_Data!H4,IF(ISNUMBER(Clean_Data!H4),TODAY()-Clean_Data!H4,""))</f>
        <v>778</v>
      </c>
      <c r="I4" s="2" t="str">
        <f>IF(ISNUMBER(Clean_Data!I4),TEXT(Clean_Data!I4,"YYYY-MM"),"")</f>
        <v>2024-03</v>
      </c>
      <c r="J4" s="2" t="str">
        <f>IF(ISNUMBER(Clean_Data!H4),TEXT(Clean_Data!H4,"YYYY-MM"),"")</f>
        <v>2024-02</v>
      </c>
      <c r="K4" s="2" t="str">
        <f>IF(ISNUMBER(Clean_Data!J4),TEXT(Clean_Data!J4,"YYYY-MM"),"")</f>
        <v/>
      </c>
      <c r="L4" s="2">
        <f>IF(ISNUMBER(Clean_Data!H4),YEAR(Clean_Data!H4),"")</f>
        <v>2024</v>
      </c>
      <c r="M4" s="2">
        <f>IF(ISNUMBER(Clean_Data!H4),MONTH(Clean_Data!H4),"")</f>
        <v>2</v>
      </c>
      <c r="N4" s="2" t="str">
        <f>IF(ISNUMBER(Clean_Data!H4),TEXT(Clean_Data!H4,"MMMM"),"")</f>
        <v>February</v>
      </c>
      <c r="O4" s="19" t="b">
        <f t="shared" ca="1" si="0"/>
        <v>1</v>
      </c>
      <c r="P4" s="19" t="b">
        <f>AND(OR(Clean_Data!F4="High",Clean_Data!F4="Critical"),C4=TRUE())</f>
        <v>1</v>
      </c>
      <c r="Q4" s="19" t="b">
        <f ca="1">AND(OR(Clean_Data!F4="High",Clean_Data!F4="Critical"),D4=TRUE())</f>
        <v>1</v>
      </c>
      <c r="R4" s="19" t="b">
        <f ca="1">AND(Clean_Data!K4="In Progress",ISNUMBER(Clean_Data!H4),TODAY()-Clean_Data!H4&gt;30)</f>
        <v>0</v>
      </c>
      <c r="S4" s="2" t="str">
        <f>IF(B4=TRUE(),IF(AND(ISNUMBER(Clean_Data!N4),ISNUMBER(Clean_Data!M4),Clean_Data!M4&gt;0),IF(Clean_Data!N4&lt;=Clean_Data!M4*1.2,"Healthy","Over Budget"),"N/A"),IF(AND(Clean_Data!K4="In Progress",ISNUMBER(Clean_Data!L4)),IF(Clean_Data!L4&gt;=0.5,"On Track","Slow"),"N/A"))</f>
        <v>N/A</v>
      </c>
      <c r="T4" s="2" t="str">
        <f>IF(AND(B4=TRUE(),ISNUMBER(Clean_Data!J4),ISNUMBER(Clean_Data!I4)),Clean_Data!J4&lt;=Clean_Data!I4,"")</f>
        <v/>
      </c>
      <c r="U4" s="19" t="b">
        <f>IF(NOT(ISNUMBER(Clean_Data!L4)),FALSE(),AND(Clean_Data!L4&gt;=0,Clean_Data!L4&lt;=1))</f>
        <v>0</v>
      </c>
    </row>
    <row r="5" spans="1:21" x14ac:dyDescent="0.3">
      <c r="A5" s="5" t="str">
        <f>Clean_Data!A5</f>
        <v>TSK-0004</v>
      </c>
      <c r="B5" s="20" t="b">
        <f>Clean_Data!K5="Completed"</f>
        <v>0</v>
      </c>
      <c r="C5" s="20" t="b">
        <f>OR(Clean_Data!K5="Not Started",Clean_Data!K5="In Progress",Clean_Data!K5="On Hold")</f>
        <v>1</v>
      </c>
      <c r="D5" s="20" t="b">
        <f ca="1">AND(ISNUMBER(Clean_Data!I5),Clean_Data!I5&lt;TODAY(),Clean_Data!K5&lt;&gt;"Completed",Clean_Data!K5&lt;&gt;"Cancelled")</f>
        <v>1</v>
      </c>
      <c r="E5" s="5">
        <f ca="1">IF(AND(ISNUMBER(Clean_Data!H5),Clean_Data!K5&lt;&gt;"Completed",Clean_Data!K5&lt;&gt;"Cancelled"),TODAY()-Clean_Data!H5,"")</f>
        <v>509</v>
      </c>
      <c r="F5" s="5">
        <f ca="1">IF(AND(B5=TRUE(),ISNUMBER(Clean_Data!J5),ISNUMBER(Clean_Data!I5)),MAX(0,Clean_Data!J5-Clean_Data!I5),IF(AND(B5=FALSE(),ISNUMBER(Clean_Data!I5),Clean_Data!I5&lt;TODAY(),Clean_Data!K5&lt;&gt;"Cancelled"),MAX(0,TODAY()-Clean_Data!I5),""))</f>
        <v>465</v>
      </c>
      <c r="G5" s="5" t="str">
        <f>IF(AND(B5=TRUE(),ISNUMBER(Clean_Data!J5),ISNUMBER(Clean_Data!H5)),Clean_Data!J5-Clean_Data!H5,"")</f>
        <v/>
      </c>
      <c r="H5" s="5">
        <f ca="1">IF(AND(ISNUMBER(Clean_Data!J5),ISNUMBER(Clean_Data!H5)),Clean_Data!J5-Clean_Data!H5,IF(ISNUMBER(Clean_Data!H5),TODAY()-Clean_Data!H5,""))</f>
        <v>509</v>
      </c>
      <c r="I5" s="5" t="str">
        <f>IF(ISNUMBER(Clean_Data!I5),TEXT(Clean_Data!I5,"YYYY-MM"),"")</f>
        <v>2025-01</v>
      </c>
      <c r="J5" s="5" t="str">
        <f>IF(ISNUMBER(Clean_Data!H5),TEXT(Clean_Data!H5,"YYYY-MM"),"")</f>
        <v>2024-11</v>
      </c>
      <c r="K5" s="5" t="str">
        <f>IF(ISNUMBER(Clean_Data!J5),TEXT(Clean_Data!J5,"YYYY-MM"),"")</f>
        <v/>
      </c>
      <c r="L5" s="5">
        <f>IF(ISNUMBER(Clean_Data!H5),YEAR(Clean_Data!H5),"")</f>
        <v>2024</v>
      </c>
      <c r="M5" s="5">
        <f>IF(ISNUMBER(Clean_Data!H5),MONTH(Clean_Data!H5),"")</f>
        <v>11</v>
      </c>
      <c r="N5" s="5" t="str">
        <f>IF(ISNUMBER(Clean_Data!H5),TEXT(Clean_Data!H5,"MMMM"),"")</f>
        <v>November</v>
      </c>
      <c r="O5" s="20" t="b">
        <f t="shared" ca="1" si="0"/>
        <v>1</v>
      </c>
      <c r="P5" s="20" t="b">
        <f>AND(OR(Clean_Data!F5="High",Clean_Data!F5="Critical"),C5=TRUE())</f>
        <v>1</v>
      </c>
      <c r="Q5" s="20" t="b">
        <f ca="1">AND(OR(Clean_Data!F5="High",Clean_Data!F5="Critical"),D5=TRUE())</f>
        <v>1</v>
      </c>
      <c r="R5" s="20" t="b">
        <f ca="1">AND(Clean_Data!K5="In Progress",ISNUMBER(Clean_Data!H5),TODAY()-Clean_Data!H5&gt;30)</f>
        <v>0</v>
      </c>
      <c r="S5" s="5" t="str">
        <f>IF(B5=TRUE(),IF(AND(ISNUMBER(Clean_Data!N5),ISNUMBER(Clean_Data!M5),Clean_Data!M5&gt;0),IF(Clean_Data!N5&lt;=Clean_Data!M5*1.2,"Healthy","Over Budget"),"N/A"),IF(AND(Clean_Data!K5="In Progress",ISNUMBER(Clean_Data!L5)),IF(Clean_Data!L5&gt;=0.5,"On Track","Slow"),"N/A"))</f>
        <v>N/A</v>
      </c>
      <c r="T5" s="5" t="str">
        <f>IF(AND(B5=TRUE(),ISNUMBER(Clean_Data!J5),ISNUMBER(Clean_Data!I5)),Clean_Data!J5&lt;=Clean_Data!I5,"")</f>
        <v/>
      </c>
      <c r="U5" s="20" t="b">
        <f>IF(NOT(ISNUMBER(Clean_Data!L5)),FALSE(),AND(Clean_Data!L5&gt;=0,Clean_Data!L5&lt;=1))</f>
        <v>0</v>
      </c>
    </row>
    <row r="6" spans="1:21" x14ac:dyDescent="0.3">
      <c r="A6" s="2" t="str">
        <f>Clean_Data!A6</f>
        <v>TSK-0005</v>
      </c>
      <c r="B6" s="19" t="b">
        <f>Clean_Data!K6="Completed"</f>
        <v>0</v>
      </c>
      <c r="C6" s="19" t="b">
        <f>OR(Clean_Data!K6="Not Started",Clean_Data!K6="In Progress",Clean_Data!K6="On Hold")</f>
        <v>1</v>
      </c>
      <c r="D6" s="19" t="b">
        <f ca="1">AND(ISNUMBER(Clean_Data!I6),Clean_Data!I6&lt;TODAY(),Clean_Data!K6&lt;&gt;"Completed",Clean_Data!K6&lt;&gt;"Cancelled")</f>
        <v>1</v>
      </c>
      <c r="E6" s="2">
        <f ca="1">IF(AND(ISNUMBER(Clean_Data!H6),Clean_Data!K6&lt;&gt;"Completed",Clean_Data!K6&lt;&gt;"Cancelled"),TODAY()-Clean_Data!H6,"")</f>
        <v>636</v>
      </c>
      <c r="F6" s="2">
        <f ca="1">IF(AND(B6=TRUE(),ISNUMBER(Clean_Data!J6),ISNUMBER(Clean_Data!I6)),MAX(0,Clean_Data!J6-Clean_Data!I6),IF(AND(B6=FALSE(),ISNUMBER(Clean_Data!I6),Clean_Data!I6&lt;TODAY(),Clean_Data!K6&lt;&gt;"Cancelled"),MAX(0,TODAY()-Clean_Data!I6),""))</f>
        <v>614</v>
      </c>
      <c r="G6" s="2" t="str">
        <f>IF(AND(B6=TRUE(),ISNUMBER(Clean_Data!J6),ISNUMBER(Clean_Data!H6)),Clean_Data!J6-Clean_Data!H6,"")</f>
        <v/>
      </c>
      <c r="H6" s="2">
        <f ca="1">IF(AND(ISNUMBER(Clean_Data!J6),ISNUMBER(Clean_Data!H6)),Clean_Data!J6-Clean_Data!H6,IF(ISNUMBER(Clean_Data!H6),TODAY()-Clean_Data!H6,""))</f>
        <v>636</v>
      </c>
      <c r="I6" s="2" t="str">
        <f>IF(ISNUMBER(Clean_Data!I6),TEXT(Clean_Data!I6,"YYYY-MM"),"")</f>
        <v>2024-08</v>
      </c>
      <c r="J6" s="2" t="str">
        <f>IF(ISNUMBER(Clean_Data!H6),TEXT(Clean_Data!H6,"YYYY-MM"),"")</f>
        <v>2024-07</v>
      </c>
      <c r="K6" s="2" t="str">
        <f>IF(ISNUMBER(Clean_Data!J6),TEXT(Clean_Data!J6,"YYYY-MM"),"")</f>
        <v/>
      </c>
      <c r="L6" s="2">
        <f>IF(ISNUMBER(Clean_Data!H6),YEAR(Clean_Data!H6),"")</f>
        <v>2024</v>
      </c>
      <c r="M6" s="2">
        <f>IF(ISNUMBER(Clean_Data!H6),MONTH(Clean_Data!H6),"")</f>
        <v>7</v>
      </c>
      <c r="N6" s="2" t="str">
        <f>IF(ISNUMBER(Clean_Data!H6),TEXT(Clean_Data!H6,"MMMM"),"")</f>
        <v>July</v>
      </c>
      <c r="O6" s="19" t="b">
        <f t="shared" ca="1" si="0"/>
        <v>1</v>
      </c>
      <c r="P6" s="19" t="b">
        <f>AND(OR(Clean_Data!F6="High",Clean_Data!F6="Critical"),C6=TRUE())</f>
        <v>1</v>
      </c>
      <c r="Q6" s="19" t="b">
        <f ca="1">AND(OR(Clean_Data!F6="High",Clean_Data!F6="Critical"),D6=TRUE())</f>
        <v>1</v>
      </c>
      <c r="R6" s="19" t="b">
        <f ca="1">AND(Clean_Data!K6="In Progress",ISNUMBER(Clean_Data!H6),TODAY()-Clean_Data!H6&gt;30)</f>
        <v>0</v>
      </c>
      <c r="S6" s="2" t="str">
        <f>IF(B6=TRUE(),IF(AND(ISNUMBER(Clean_Data!N6),ISNUMBER(Clean_Data!M6),Clean_Data!M6&gt;0),IF(Clean_Data!N6&lt;=Clean_Data!M6*1.2,"Healthy","Over Budget"),"N/A"),IF(AND(Clean_Data!K6="In Progress",ISNUMBER(Clean_Data!L6)),IF(Clean_Data!L6&gt;=0.5,"On Track","Slow"),"N/A"))</f>
        <v>N/A</v>
      </c>
      <c r="T6" s="2" t="str">
        <f>IF(AND(B6=TRUE(),ISNUMBER(Clean_Data!J6),ISNUMBER(Clean_Data!I6)),Clean_Data!J6&lt;=Clean_Data!I6,"")</f>
        <v/>
      </c>
      <c r="U6" s="19" t="b">
        <f>IF(NOT(ISNUMBER(Clean_Data!L6)),FALSE(),AND(Clean_Data!L6&gt;=0,Clean_Data!L6&lt;=1))</f>
        <v>1</v>
      </c>
    </row>
    <row r="7" spans="1:21" x14ac:dyDescent="0.3">
      <c r="A7" s="5" t="str">
        <f>Clean_Data!A7</f>
        <v>TSK-0006</v>
      </c>
      <c r="B7" s="20" t="b">
        <f>Clean_Data!K7="Completed"</f>
        <v>0</v>
      </c>
      <c r="C7" s="20" t="b">
        <f>OR(Clean_Data!K7="Not Started",Clean_Data!K7="In Progress",Clean_Data!K7="On Hold")</f>
        <v>1</v>
      </c>
      <c r="D7" s="20" t="b">
        <f ca="1">AND(ISNUMBER(Clean_Data!I7),Clean_Data!I7&lt;TODAY(),Clean_Data!K7&lt;&gt;"Completed",Clean_Data!K7&lt;&gt;"Cancelled")</f>
        <v>1</v>
      </c>
      <c r="E7" s="5">
        <f ca="1">IF(AND(ISNUMBER(Clean_Data!H7),Clean_Data!K7&lt;&gt;"Completed",Clean_Data!K7&lt;&gt;"Cancelled"),TODAY()-Clean_Data!H7,"")</f>
        <v>636</v>
      </c>
      <c r="F7" s="5">
        <f ca="1">IF(AND(B7=TRUE(),ISNUMBER(Clean_Data!J7),ISNUMBER(Clean_Data!I7)),MAX(0,Clean_Data!J7-Clean_Data!I7),IF(AND(B7=FALSE(),ISNUMBER(Clean_Data!I7),Clean_Data!I7&lt;TODAY(),Clean_Data!K7&lt;&gt;"Cancelled"),MAX(0,TODAY()-Clean_Data!I7),""))</f>
        <v>614</v>
      </c>
      <c r="G7" s="5" t="str">
        <f>IF(AND(B7=TRUE(),ISNUMBER(Clean_Data!J7),ISNUMBER(Clean_Data!H7)),Clean_Data!J7-Clean_Data!H7,"")</f>
        <v/>
      </c>
      <c r="H7" s="5">
        <f ca="1">IF(AND(ISNUMBER(Clean_Data!J7),ISNUMBER(Clean_Data!H7)),Clean_Data!J7-Clean_Data!H7,IF(ISNUMBER(Clean_Data!H7),TODAY()-Clean_Data!H7,""))</f>
        <v>636</v>
      </c>
      <c r="I7" s="5" t="str">
        <f>IF(ISNUMBER(Clean_Data!I7),TEXT(Clean_Data!I7,"YYYY-MM"),"")</f>
        <v>2024-08</v>
      </c>
      <c r="J7" s="5" t="str">
        <f>IF(ISNUMBER(Clean_Data!H7),TEXT(Clean_Data!H7,"YYYY-MM"),"")</f>
        <v>2024-07</v>
      </c>
      <c r="K7" s="5" t="str">
        <f>IF(ISNUMBER(Clean_Data!J7),TEXT(Clean_Data!J7,"YYYY-MM"),"")</f>
        <v/>
      </c>
      <c r="L7" s="5">
        <f>IF(ISNUMBER(Clean_Data!H7),YEAR(Clean_Data!H7),"")</f>
        <v>2024</v>
      </c>
      <c r="M7" s="5">
        <f>IF(ISNUMBER(Clean_Data!H7),MONTH(Clean_Data!H7),"")</f>
        <v>7</v>
      </c>
      <c r="N7" s="5" t="str">
        <f>IF(ISNUMBER(Clean_Data!H7),TEXT(Clean_Data!H7,"MMMM"),"")</f>
        <v>July</v>
      </c>
      <c r="O7" s="20" t="b">
        <f t="shared" ca="1" si="0"/>
        <v>1</v>
      </c>
      <c r="P7" s="20" t="b">
        <f>AND(OR(Clean_Data!F7="High",Clean_Data!F7="Critical"),C7=TRUE())</f>
        <v>1</v>
      </c>
      <c r="Q7" s="20" t="b">
        <f ca="1">AND(OR(Clean_Data!F7="High",Clean_Data!F7="Critical"),D7=TRUE())</f>
        <v>1</v>
      </c>
      <c r="R7" s="20" t="b">
        <f ca="1">AND(Clean_Data!K7="In Progress",ISNUMBER(Clean_Data!H7),TODAY()-Clean_Data!H7&gt;30)</f>
        <v>1</v>
      </c>
      <c r="S7" s="5" t="str">
        <f>IF(B7=TRUE(),IF(AND(ISNUMBER(Clean_Data!N7),ISNUMBER(Clean_Data!M7),Clean_Data!M7&gt;0),IF(Clean_Data!N7&lt;=Clean_Data!M7*1.2,"Healthy","Over Budget"),"N/A"),IF(AND(Clean_Data!K7="In Progress",ISNUMBER(Clean_Data!L7)),IF(Clean_Data!L7&gt;=0.5,"On Track","Slow"),"N/A"))</f>
        <v>On Track</v>
      </c>
      <c r="T7" s="5" t="str">
        <f>IF(AND(B7=TRUE(),ISNUMBER(Clean_Data!J7),ISNUMBER(Clean_Data!I7)),Clean_Data!J7&lt;=Clean_Data!I7,"")</f>
        <v/>
      </c>
      <c r="U7" s="20" t="b">
        <f>IF(NOT(ISNUMBER(Clean_Data!L7)),FALSE(),AND(Clean_Data!L7&gt;=0,Clean_Data!L7&lt;=1))</f>
        <v>1</v>
      </c>
    </row>
    <row r="8" spans="1:21" x14ac:dyDescent="0.3">
      <c r="A8" s="2" t="str">
        <f>Clean_Data!A8</f>
        <v>TSK-0007</v>
      </c>
      <c r="B8" s="19" t="b">
        <f>Clean_Data!K8="Completed"</f>
        <v>0</v>
      </c>
      <c r="C8" s="19" t="b">
        <f>OR(Clean_Data!K8="Not Started",Clean_Data!K8="In Progress",Clean_Data!K8="On Hold")</f>
        <v>1</v>
      </c>
      <c r="D8" s="19" t="b">
        <f ca="1">AND(ISNUMBER(Clean_Data!I8),Clean_Data!I8&lt;TODAY(),Clean_Data!K8&lt;&gt;"Completed",Clean_Data!K8&lt;&gt;"Cancelled")</f>
        <v>1</v>
      </c>
      <c r="E8" s="2">
        <f ca="1">IF(AND(ISNUMBER(Clean_Data!H8),Clean_Data!K8&lt;&gt;"Completed",Clean_Data!K8&lt;&gt;"Cancelled"),TODAY()-Clean_Data!H8,"")</f>
        <v>757</v>
      </c>
      <c r="F8" s="2">
        <f ca="1">IF(AND(B8=TRUE(),ISNUMBER(Clean_Data!J8),ISNUMBER(Clean_Data!I8)),MAX(0,Clean_Data!J8-Clean_Data!I8),IF(AND(B8=FALSE(),ISNUMBER(Clean_Data!I8),Clean_Data!I8&lt;TODAY(),Clean_Data!K8&lt;&gt;"Cancelled"),MAX(0,TODAY()-Clean_Data!I8),""))</f>
        <v>736</v>
      </c>
      <c r="G8" s="2" t="str">
        <f>IF(AND(B8=TRUE(),ISNUMBER(Clean_Data!J8),ISNUMBER(Clean_Data!H8)),Clean_Data!J8-Clean_Data!H8,"")</f>
        <v/>
      </c>
      <c r="H8" s="2">
        <f ca="1">IF(AND(ISNUMBER(Clean_Data!J8),ISNUMBER(Clean_Data!H8)),Clean_Data!J8-Clean_Data!H8,IF(ISNUMBER(Clean_Data!H8),TODAY()-Clean_Data!H8,""))</f>
        <v>757</v>
      </c>
      <c r="I8" s="2" t="str">
        <f>IF(ISNUMBER(Clean_Data!I8),TEXT(Clean_Data!I8,"YYYY-MM"),"")</f>
        <v>2024-04</v>
      </c>
      <c r="J8" s="2" t="str">
        <f>IF(ISNUMBER(Clean_Data!H8),TEXT(Clean_Data!H8,"YYYY-MM"),"")</f>
        <v>2024-03</v>
      </c>
      <c r="K8" s="2" t="str">
        <f>IF(ISNUMBER(Clean_Data!J8),TEXT(Clean_Data!J8,"YYYY-MM"),"")</f>
        <v/>
      </c>
      <c r="L8" s="2">
        <f>IF(ISNUMBER(Clean_Data!H8),YEAR(Clean_Data!H8),"")</f>
        <v>2024</v>
      </c>
      <c r="M8" s="2">
        <f>IF(ISNUMBER(Clean_Data!H8),MONTH(Clean_Data!H8),"")</f>
        <v>3</v>
      </c>
      <c r="N8" s="2" t="str">
        <f>IF(ISNUMBER(Clean_Data!H8),TEXT(Clean_Data!H8,"MMMM"),"")</f>
        <v>March</v>
      </c>
      <c r="O8" s="19" t="b">
        <f t="shared" ca="1" si="0"/>
        <v>1</v>
      </c>
      <c r="P8" s="19" t="b">
        <f>AND(OR(Clean_Data!F8="High",Clean_Data!F8="Critical"),C8=TRUE())</f>
        <v>0</v>
      </c>
      <c r="Q8" s="19" t="b">
        <f ca="1">AND(OR(Clean_Data!F8="High",Clean_Data!F8="Critical"),D8=TRUE())</f>
        <v>0</v>
      </c>
      <c r="R8" s="19" t="b">
        <f ca="1">AND(Clean_Data!K8="In Progress",ISNUMBER(Clean_Data!H8),TODAY()-Clean_Data!H8&gt;30)</f>
        <v>1</v>
      </c>
      <c r="S8" s="2" t="str">
        <f>IF(B8=TRUE(),IF(AND(ISNUMBER(Clean_Data!N8),ISNUMBER(Clean_Data!M8),Clean_Data!M8&gt;0),IF(Clean_Data!N8&lt;=Clean_Data!M8*1.2,"Healthy","Over Budget"),"N/A"),IF(AND(Clean_Data!K8="In Progress",ISNUMBER(Clean_Data!L8)),IF(Clean_Data!L8&gt;=0.5,"On Track","Slow"),"N/A"))</f>
        <v>On Track</v>
      </c>
      <c r="T8" s="2" t="str">
        <f>IF(AND(B8=TRUE(),ISNUMBER(Clean_Data!J8),ISNUMBER(Clean_Data!I8)),Clean_Data!J8&lt;=Clean_Data!I8,"")</f>
        <v/>
      </c>
      <c r="U8" s="19" t="b">
        <f>IF(NOT(ISNUMBER(Clean_Data!L8)),FALSE(),AND(Clean_Data!L8&gt;=0,Clean_Data!L8&lt;=1))</f>
        <v>1</v>
      </c>
    </row>
    <row r="9" spans="1:21" x14ac:dyDescent="0.3">
      <c r="A9" s="5" t="str">
        <f>Clean_Data!A9</f>
        <v>TSK-0008</v>
      </c>
      <c r="B9" s="20" t="b">
        <f>Clean_Data!K9="Completed"</f>
        <v>0</v>
      </c>
      <c r="C9" s="20" t="b">
        <f>OR(Clean_Data!K9="Not Started",Clean_Data!K9="In Progress",Clean_Data!K9="On Hold")</f>
        <v>1</v>
      </c>
      <c r="D9" s="20" t="b">
        <f ca="1">AND(ISNUMBER(Clean_Data!I9),Clean_Data!I9&lt;TODAY(),Clean_Data!K9&lt;&gt;"Completed",Clean_Data!K9&lt;&gt;"Cancelled")</f>
        <v>1</v>
      </c>
      <c r="E9" s="5">
        <f ca="1">IF(AND(ISNUMBER(Clean_Data!H9),Clean_Data!K9&lt;&gt;"Completed",Clean_Data!K9&lt;&gt;"Cancelled"),TODAY()-Clean_Data!H9,"")</f>
        <v>774</v>
      </c>
      <c r="F9" s="5">
        <f ca="1">IF(AND(B9=TRUE(),ISNUMBER(Clean_Data!J9),ISNUMBER(Clean_Data!I9)),MAX(0,Clean_Data!J9-Clean_Data!I9),IF(AND(B9=FALSE(),ISNUMBER(Clean_Data!I9),Clean_Data!I9&lt;TODAY(),Clean_Data!K9&lt;&gt;"Cancelled"),MAX(0,TODAY()-Clean_Data!I9),""))</f>
        <v>760</v>
      </c>
      <c r="G9" s="5" t="str">
        <f>IF(AND(B9=TRUE(),ISNUMBER(Clean_Data!J9),ISNUMBER(Clean_Data!H9)),Clean_Data!J9-Clean_Data!H9,"")</f>
        <v/>
      </c>
      <c r="H9" s="5">
        <f ca="1">IF(AND(ISNUMBER(Clean_Data!J9),ISNUMBER(Clean_Data!H9)),Clean_Data!J9-Clean_Data!H9,IF(ISNUMBER(Clean_Data!H9),TODAY()-Clean_Data!H9,""))</f>
        <v>774</v>
      </c>
      <c r="I9" s="5" t="str">
        <f>IF(ISNUMBER(Clean_Data!I9),TEXT(Clean_Data!I9,"YYYY-MM"),"")</f>
        <v>2024-03</v>
      </c>
      <c r="J9" s="5" t="str">
        <f>IF(ISNUMBER(Clean_Data!H9),TEXT(Clean_Data!H9,"YYYY-MM"),"")</f>
        <v>2024-03</v>
      </c>
      <c r="K9" s="5" t="str">
        <f>IF(ISNUMBER(Clean_Data!J9),TEXT(Clean_Data!J9,"YYYY-MM"),"")</f>
        <v/>
      </c>
      <c r="L9" s="5">
        <f>IF(ISNUMBER(Clean_Data!H9),YEAR(Clean_Data!H9),"")</f>
        <v>2024</v>
      </c>
      <c r="M9" s="5">
        <f>IF(ISNUMBER(Clean_Data!H9),MONTH(Clean_Data!H9),"")</f>
        <v>3</v>
      </c>
      <c r="N9" s="5" t="str">
        <f>IF(ISNUMBER(Clean_Data!H9),TEXT(Clean_Data!H9,"MMMM"),"")</f>
        <v>March</v>
      </c>
      <c r="O9" s="20" t="b">
        <f t="shared" ca="1" si="0"/>
        <v>1</v>
      </c>
      <c r="P9" s="20" t="b">
        <f>AND(OR(Clean_Data!F9="High",Clean_Data!F9="Critical"),C9=TRUE())</f>
        <v>1</v>
      </c>
      <c r="Q9" s="20" t="b">
        <f ca="1">AND(OR(Clean_Data!F9="High",Clean_Data!F9="Critical"),D9=TRUE())</f>
        <v>1</v>
      </c>
      <c r="R9" s="20" t="b">
        <f ca="1">AND(Clean_Data!K9="In Progress",ISNUMBER(Clean_Data!H9),TODAY()-Clean_Data!H9&gt;30)</f>
        <v>1</v>
      </c>
      <c r="S9" s="5" t="str">
        <f>IF(B9=TRUE(),IF(AND(ISNUMBER(Clean_Data!N9),ISNUMBER(Clean_Data!M9),Clean_Data!M9&gt;0),IF(Clean_Data!N9&lt;=Clean_Data!M9*1.2,"Healthy","Over Budget"),"N/A"),IF(AND(Clean_Data!K9="In Progress",ISNUMBER(Clean_Data!L9)),IF(Clean_Data!L9&gt;=0.5,"On Track","Slow"),"N/A"))</f>
        <v>N/A</v>
      </c>
      <c r="T9" s="5" t="str">
        <f>IF(AND(B9=TRUE(),ISNUMBER(Clean_Data!J9),ISNUMBER(Clean_Data!I9)),Clean_Data!J9&lt;=Clean_Data!I9,"")</f>
        <v/>
      </c>
      <c r="U9" s="20" t="b">
        <f>IF(NOT(ISNUMBER(Clean_Data!L9)),FALSE(),AND(Clean_Data!L9&gt;=0,Clean_Data!L9&lt;=1))</f>
        <v>0</v>
      </c>
    </row>
    <row r="10" spans="1:21" x14ac:dyDescent="0.3">
      <c r="A10" s="2" t="str">
        <f>Clean_Data!A10</f>
        <v>TSK-0009</v>
      </c>
      <c r="B10" s="19" t="b">
        <f>Clean_Data!K10="Completed"</f>
        <v>0</v>
      </c>
      <c r="C10" s="19" t="b">
        <f>OR(Clean_Data!K10="Not Started",Clean_Data!K10="In Progress",Clean_Data!K10="On Hold")</f>
        <v>1</v>
      </c>
      <c r="D10" s="19" t="b">
        <f ca="1">AND(ISNUMBER(Clean_Data!I10),Clean_Data!I10&lt;TODAY(),Clean_Data!K10&lt;&gt;"Completed",Clean_Data!K10&lt;&gt;"Cancelled")</f>
        <v>1</v>
      </c>
      <c r="E10" s="2">
        <f ca="1">IF(AND(ISNUMBER(Clean_Data!H10),Clean_Data!K10&lt;&gt;"Completed",Clean_Data!K10&lt;&gt;"Cancelled"),TODAY()-Clean_Data!H10,"")</f>
        <v>608</v>
      </c>
      <c r="F10" s="2">
        <f ca="1">IF(AND(B10=TRUE(),ISNUMBER(Clean_Data!J10),ISNUMBER(Clean_Data!I10)),MAX(0,Clean_Data!J10-Clean_Data!I10),IF(AND(B10=FALSE(),ISNUMBER(Clean_Data!I10),Clean_Data!I10&lt;TODAY(),Clean_Data!K10&lt;&gt;"Cancelled"),MAX(0,TODAY()-Clean_Data!I10),""))</f>
        <v>593</v>
      </c>
      <c r="G10" s="2" t="str">
        <f>IF(AND(B10=TRUE(),ISNUMBER(Clean_Data!J10),ISNUMBER(Clean_Data!H10)),Clean_Data!J10-Clean_Data!H10,"")</f>
        <v/>
      </c>
      <c r="H10" s="2">
        <f ca="1">IF(AND(ISNUMBER(Clean_Data!J10),ISNUMBER(Clean_Data!H10)),Clean_Data!J10-Clean_Data!H10,IF(ISNUMBER(Clean_Data!H10),TODAY()-Clean_Data!H10,""))</f>
        <v>608</v>
      </c>
      <c r="I10" s="2" t="str">
        <f>IF(ISNUMBER(Clean_Data!I10),TEXT(Clean_Data!I10,"YYYY-MM"),"")</f>
        <v>2024-08</v>
      </c>
      <c r="J10" s="2" t="str">
        <f>IF(ISNUMBER(Clean_Data!H10),TEXT(Clean_Data!H10,"YYYY-MM"),"")</f>
        <v>2024-08</v>
      </c>
      <c r="K10" s="2" t="str">
        <f>IF(ISNUMBER(Clean_Data!J10),TEXT(Clean_Data!J10,"YYYY-MM"),"")</f>
        <v/>
      </c>
      <c r="L10" s="2">
        <f>IF(ISNUMBER(Clean_Data!H10),YEAR(Clean_Data!H10),"")</f>
        <v>2024</v>
      </c>
      <c r="M10" s="2">
        <f>IF(ISNUMBER(Clean_Data!H10),MONTH(Clean_Data!H10),"")</f>
        <v>8</v>
      </c>
      <c r="N10" s="2" t="str">
        <f>IF(ISNUMBER(Clean_Data!H10),TEXT(Clean_Data!H10,"MMMM"),"")</f>
        <v>August</v>
      </c>
      <c r="O10" s="19" t="b">
        <f t="shared" ca="1" si="0"/>
        <v>1</v>
      </c>
      <c r="P10" s="19" t="b">
        <f>AND(OR(Clean_Data!F10="High",Clean_Data!F10="Critical"),C10=TRUE())</f>
        <v>1</v>
      </c>
      <c r="Q10" s="19" t="b">
        <f ca="1">AND(OR(Clean_Data!F10="High",Clean_Data!F10="Critical"),D10=TRUE())</f>
        <v>1</v>
      </c>
      <c r="R10" s="19" t="b">
        <f ca="1">AND(Clean_Data!K10="In Progress",ISNUMBER(Clean_Data!H10),TODAY()-Clean_Data!H10&gt;30)</f>
        <v>0</v>
      </c>
      <c r="S10" s="2" t="str">
        <f>IF(B10=TRUE(),IF(AND(ISNUMBER(Clean_Data!N10),ISNUMBER(Clean_Data!M10),Clean_Data!M10&gt;0),IF(Clean_Data!N10&lt;=Clean_Data!M10*1.2,"Healthy","Over Budget"),"N/A"),IF(AND(Clean_Data!K10="In Progress",ISNUMBER(Clean_Data!L10)),IF(Clean_Data!L10&gt;=0.5,"On Track","Slow"),"N/A"))</f>
        <v>N/A</v>
      </c>
      <c r="T10" s="2" t="str">
        <f>IF(AND(B10=TRUE(),ISNUMBER(Clean_Data!J10),ISNUMBER(Clean_Data!I10)),Clean_Data!J10&lt;=Clean_Data!I10,"")</f>
        <v/>
      </c>
      <c r="U10" s="19" t="b">
        <f>IF(NOT(ISNUMBER(Clean_Data!L10)),FALSE(),AND(Clean_Data!L10&gt;=0,Clean_Data!L10&lt;=1))</f>
        <v>0</v>
      </c>
    </row>
    <row r="11" spans="1:21" x14ac:dyDescent="0.3">
      <c r="A11" s="5" t="str">
        <f>Clean_Data!A11</f>
        <v>TSK-0010</v>
      </c>
      <c r="B11" s="20" t="b">
        <f>Clean_Data!K11="Completed"</f>
        <v>0</v>
      </c>
      <c r="C11" s="20" t="b">
        <f>OR(Clean_Data!K11="Not Started",Clean_Data!K11="In Progress",Clean_Data!K11="On Hold")</f>
        <v>1</v>
      </c>
      <c r="D11" s="20" t="b">
        <f ca="1">AND(ISNUMBER(Clean_Data!I11),Clean_Data!I11&lt;TODAY(),Clean_Data!K11&lt;&gt;"Completed",Clean_Data!K11&lt;&gt;"Cancelled")</f>
        <v>1</v>
      </c>
      <c r="E11" s="5">
        <f ca="1">IF(AND(ISNUMBER(Clean_Data!H11),Clean_Data!K11&lt;&gt;"Completed",Clean_Data!K11&lt;&gt;"Cancelled"),TODAY()-Clean_Data!H11,"")</f>
        <v>519</v>
      </c>
      <c r="F11" s="5">
        <f ca="1">IF(AND(B11=TRUE(),ISNUMBER(Clean_Data!J11),ISNUMBER(Clean_Data!I11)),MAX(0,Clean_Data!J11-Clean_Data!I11),IF(AND(B11=FALSE(),ISNUMBER(Clean_Data!I11),Clean_Data!I11&lt;TODAY(),Clean_Data!K11&lt;&gt;"Cancelled"),MAX(0,TODAY()-Clean_Data!I11),""))</f>
        <v>502</v>
      </c>
      <c r="G11" s="5" t="str">
        <f>IF(AND(B11=TRUE(),ISNUMBER(Clean_Data!J11),ISNUMBER(Clean_Data!H11)),Clean_Data!J11-Clean_Data!H11,"")</f>
        <v/>
      </c>
      <c r="H11" s="5">
        <f ca="1">IF(AND(ISNUMBER(Clean_Data!J11),ISNUMBER(Clean_Data!H11)),Clean_Data!J11-Clean_Data!H11,IF(ISNUMBER(Clean_Data!H11),TODAY()-Clean_Data!H11,""))</f>
        <v>519</v>
      </c>
      <c r="I11" s="5" t="str">
        <f>IF(ISNUMBER(Clean_Data!I11),TEXT(Clean_Data!I11,"YYYY-MM"),"")</f>
        <v>2024-11</v>
      </c>
      <c r="J11" s="5" t="str">
        <f>IF(ISNUMBER(Clean_Data!H11),TEXT(Clean_Data!H11,"YYYY-MM"),"")</f>
        <v>2024-11</v>
      </c>
      <c r="K11" s="5" t="str">
        <f>IF(ISNUMBER(Clean_Data!J11),TEXT(Clean_Data!J11,"YYYY-MM"),"")</f>
        <v/>
      </c>
      <c r="L11" s="5">
        <f>IF(ISNUMBER(Clean_Data!H11),YEAR(Clean_Data!H11),"")</f>
        <v>2024</v>
      </c>
      <c r="M11" s="5">
        <f>IF(ISNUMBER(Clean_Data!H11),MONTH(Clean_Data!H11),"")</f>
        <v>11</v>
      </c>
      <c r="N11" s="5" t="str">
        <f>IF(ISNUMBER(Clean_Data!H11),TEXT(Clean_Data!H11,"MMMM"),"")</f>
        <v>November</v>
      </c>
      <c r="O11" s="20" t="b">
        <f t="shared" ca="1" si="0"/>
        <v>1</v>
      </c>
      <c r="P11" s="20" t="b">
        <f>AND(OR(Clean_Data!F11="High",Clean_Data!F11="Critical"),C11=TRUE())</f>
        <v>1</v>
      </c>
      <c r="Q11" s="20" t="b">
        <f ca="1">AND(OR(Clean_Data!F11="High",Clean_Data!F11="Critical"),D11=TRUE())</f>
        <v>1</v>
      </c>
      <c r="R11" s="20" t="b">
        <f ca="1">AND(Clean_Data!K11="In Progress",ISNUMBER(Clean_Data!H11),TODAY()-Clean_Data!H11&gt;30)</f>
        <v>1</v>
      </c>
      <c r="S11" s="5" t="str">
        <f>IF(B11=TRUE(),IF(AND(ISNUMBER(Clean_Data!N11),ISNUMBER(Clean_Data!M11),Clean_Data!M11&gt;0),IF(Clean_Data!N11&lt;=Clean_Data!M11*1.2,"Healthy","Over Budget"),"N/A"),IF(AND(Clean_Data!K11="In Progress",ISNUMBER(Clean_Data!L11)),IF(Clean_Data!L11&gt;=0.5,"On Track","Slow"),"N/A"))</f>
        <v>On Track</v>
      </c>
      <c r="T11" s="5" t="str">
        <f>IF(AND(B11=TRUE(),ISNUMBER(Clean_Data!J11),ISNUMBER(Clean_Data!I11)),Clean_Data!J11&lt;=Clean_Data!I11,"")</f>
        <v/>
      </c>
      <c r="U11" s="20" t="b">
        <f>IF(NOT(ISNUMBER(Clean_Data!L11)),FALSE(),AND(Clean_Data!L11&gt;=0,Clean_Data!L11&lt;=1))</f>
        <v>1</v>
      </c>
    </row>
    <row r="12" spans="1:21" x14ac:dyDescent="0.3">
      <c r="A12" s="2" t="str">
        <f>Clean_Data!A12</f>
        <v>TSK-0011</v>
      </c>
      <c r="B12" s="19" t="b">
        <f>Clean_Data!K12="Completed"</f>
        <v>0</v>
      </c>
      <c r="C12" s="19" t="b">
        <f>OR(Clean_Data!K12="Not Started",Clean_Data!K12="In Progress",Clean_Data!K12="On Hold")</f>
        <v>1</v>
      </c>
      <c r="D12" s="19" t="b">
        <f ca="1">AND(ISNUMBER(Clean_Data!I12),Clean_Data!I12&lt;TODAY(),Clean_Data!K12&lt;&gt;"Completed",Clean_Data!K12&lt;&gt;"Cancelled")</f>
        <v>1</v>
      </c>
      <c r="E12" s="2">
        <f ca="1">IF(AND(ISNUMBER(Clean_Data!H12),Clean_Data!K12&lt;&gt;"Completed",Clean_Data!K12&lt;&gt;"Cancelled"),TODAY()-Clean_Data!H12,"")</f>
        <v>795</v>
      </c>
      <c r="F12" s="2">
        <f ca="1">IF(AND(B12=TRUE(),ISNUMBER(Clean_Data!J12),ISNUMBER(Clean_Data!I12)),MAX(0,Clean_Data!J12-Clean_Data!I12),IF(AND(B12=FALSE(),ISNUMBER(Clean_Data!I12),Clean_Data!I12&lt;TODAY(),Clean_Data!K12&lt;&gt;"Cancelled"),MAX(0,TODAY()-Clean_Data!I12),""))</f>
        <v>742</v>
      </c>
      <c r="G12" s="2" t="str">
        <f>IF(AND(B12=TRUE(),ISNUMBER(Clean_Data!J12),ISNUMBER(Clean_Data!H12)),Clean_Data!J12-Clean_Data!H12,"")</f>
        <v/>
      </c>
      <c r="H12" s="2">
        <f ca="1">IF(AND(ISNUMBER(Clean_Data!J12),ISNUMBER(Clean_Data!H12)),Clean_Data!J12-Clean_Data!H12,IF(ISNUMBER(Clean_Data!H12),TODAY()-Clean_Data!H12,""))</f>
        <v>795</v>
      </c>
      <c r="I12" s="2" t="str">
        <f>IF(ISNUMBER(Clean_Data!I12),TEXT(Clean_Data!I12,"YYYY-MM"),"")</f>
        <v>2024-04</v>
      </c>
      <c r="J12" s="2" t="str">
        <f>IF(ISNUMBER(Clean_Data!H12),TEXT(Clean_Data!H12,"YYYY-MM"),"")</f>
        <v>2024-02</v>
      </c>
      <c r="K12" s="2" t="str">
        <f>IF(ISNUMBER(Clean_Data!J12),TEXT(Clean_Data!J12,"YYYY-MM"),"")</f>
        <v/>
      </c>
      <c r="L12" s="2">
        <f>IF(ISNUMBER(Clean_Data!H12),YEAR(Clean_Data!H12),"")</f>
        <v>2024</v>
      </c>
      <c r="M12" s="2">
        <f>IF(ISNUMBER(Clean_Data!H12),MONTH(Clean_Data!H12),"")</f>
        <v>2</v>
      </c>
      <c r="N12" s="2" t="str">
        <f>IF(ISNUMBER(Clean_Data!H12),TEXT(Clean_Data!H12,"MMMM"),"")</f>
        <v>February</v>
      </c>
      <c r="O12" s="19" t="b">
        <f t="shared" ca="1" si="0"/>
        <v>1</v>
      </c>
      <c r="P12" s="19" t="b">
        <f>AND(OR(Clean_Data!F12="High",Clean_Data!F12="Critical"),C12=TRUE())</f>
        <v>1</v>
      </c>
      <c r="Q12" s="19" t="b">
        <f ca="1">AND(OR(Clean_Data!F12="High",Clean_Data!F12="Critical"),D12=TRUE())</f>
        <v>1</v>
      </c>
      <c r="R12" s="19" t="b">
        <f ca="1">AND(Clean_Data!K12="In Progress",ISNUMBER(Clean_Data!H12),TODAY()-Clean_Data!H12&gt;30)</f>
        <v>1</v>
      </c>
      <c r="S12" s="2" t="str">
        <f>IF(B12=TRUE(),IF(AND(ISNUMBER(Clean_Data!N12),ISNUMBER(Clean_Data!M12),Clean_Data!M12&gt;0),IF(Clean_Data!N12&lt;=Clean_Data!M12*1.2,"Healthy","Over Budget"),"N/A"),IF(AND(Clean_Data!K12="In Progress",ISNUMBER(Clean_Data!L12)),IF(Clean_Data!L12&gt;=0.5,"On Track","Slow"),"N/A"))</f>
        <v>On Track</v>
      </c>
      <c r="T12" s="2" t="str">
        <f>IF(AND(B12=TRUE(),ISNUMBER(Clean_Data!J12),ISNUMBER(Clean_Data!I12)),Clean_Data!J12&lt;=Clean_Data!I12,"")</f>
        <v/>
      </c>
      <c r="U12" s="19" t="b">
        <f>IF(NOT(ISNUMBER(Clean_Data!L12)),FALSE(),AND(Clean_Data!L12&gt;=0,Clean_Data!L12&lt;=1))</f>
        <v>1</v>
      </c>
    </row>
    <row r="13" spans="1:21" x14ac:dyDescent="0.3">
      <c r="A13" s="5" t="str">
        <f>Clean_Data!A13</f>
        <v>TSK-0012</v>
      </c>
      <c r="B13" s="20" t="b">
        <f>Clean_Data!K13="Completed"</f>
        <v>0</v>
      </c>
      <c r="C13" s="20" t="b">
        <f>OR(Clean_Data!K13="Not Started",Clean_Data!K13="In Progress",Clean_Data!K13="On Hold")</f>
        <v>1</v>
      </c>
      <c r="D13" s="20" t="b">
        <f ca="1">AND(ISNUMBER(Clean_Data!I13),Clean_Data!I13&lt;TODAY(),Clean_Data!K13&lt;&gt;"Completed",Clean_Data!K13&lt;&gt;"Cancelled")</f>
        <v>1</v>
      </c>
      <c r="E13" s="5">
        <f ca="1">IF(AND(ISNUMBER(Clean_Data!H13),Clean_Data!K13&lt;&gt;"Completed",Clean_Data!K13&lt;&gt;"Cancelled"),TODAY()-Clean_Data!H13,"")</f>
        <v>599</v>
      </c>
      <c r="F13" s="5">
        <f ca="1">IF(AND(B13=TRUE(),ISNUMBER(Clean_Data!J13),ISNUMBER(Clean_Data!I13)),MAX(0,Clean_Data!J13-Clean_Data!I13),IF(AND(B13=FALSE(),ISNUMBER(Clean_Data!I13),Clean_Data!I13&lt;TODAY(),Clean_Data!K13&lt;&gt;"Cancelled"),MAX(0,TODAY()-Clean_Data!I13),""))</f>
        <v>587</v>
      </c>
      <c r="G13" s="5" t="str">
        <f>IF(AND(B13=TRUE(),ISNUMBER(Clean_Data!J13),ISNUMBER(Clean_Data!H13)),Clean_Data!J13-Clean_Data!H13,"")</f>
        <v/>
      </c>
      <c r="H13" s="5">
        <f ca="1">IF(AND(ISNUMBER(Clean_Data!J13),ISNUMBER(Clean_Data!H13)),Clean_Data!J13-Clean_Data!H13,IF(ISNUMBER(Clean_Data!H13),TODAY()-Clean_Data!H13,""))</f>
        <v>599</v>
      </c>
      <c r="I13" s="5" t="str">
        <f>IF(ISNUMBER(Clean_Data!I13),TEXT(Clean_Data!I13,"YYYY-MM"),"")</f>
        <v>2024-09</v>
      </c>
      <c r="J13" s="5" t="str">
        <f>IF(ISNUMBER(Clean_Data!H13),TEXT(Clean_Data!H13,"YYYY-MM"),"")</f>
        <v>2024-08</v>
      </c>
      <c r="K13" s="5" t="str">
        <f>IF(ISNUMBER(Clean_Data!J13),TEXT(Clean_Data!J13,"YYYY-MM"),"")</f>
        <v/>
      </c>
      <c r="L13" s="5">
        <f>IF(ISNUMBER(Clean_Data!H13),YEAR(Clean_Data!H13),"")</f>
        <v>2024</v>
      </c>
      <c r="M13" s="5">
        <f>IF(ISNUMBER(Clean_Data!H13),MONTH(Clean_Data!H13),"")</f>
        <v>8</v>
      </c>
      <c r="N13" s="5" t="str">
        <f>IF(ISNUMBER(Clean_Data!H13),TEXT(Clean_Data!H13,"MMMM"),"")</f>
        <v>August</v>
      </c>
      <c r="O13" s="20" t="b">
        <f t="shared" ca="1" si="0"/>
        <v>1</v>
      </c>
      <c r="P13" s="20" t="b">
        <f>AND(OR(Clean_Data!F13="High",Clean_Data!F13="Critical"),C13=TRUE())</f>
        <v>0</v>
      </c>
      <c r="Q13" s="20" t="b">
        <f ca="1">AND(OR(Clean_Data!F13="High",Clean_Data!F13="Critical"),D13=TRUE())</f>
        <v>0</v>
      </c>
      <c r="R13" s="20" t="b">
        <f ca="1">AND(Clean_Data!K13="In Progress",ISNUMBER(Clean_Data!H13),TODAY()-Clean_Data!H13&gt;30)</f>
        <v>1</v>
      </c>
      <c r="S13" s="5" t="str">
        <f>IF(B13=TRUE(),IF(AND(ISNUMBER(Clean_Data!N13),ISNUMBER(Clean_Data!M13),Clean_Data!M13&gt;0),IF(Clean_Data!N13&lt;=Clean_Data!M13*1.2,"Healthy","Over Budget"),"N/A"),IF(AND(Clean_Data!K13="In Progress",ISNUMBER(Clean_Data!L13)),IF(Clean_Data!L13&gt;=0.5,"On Track","Slow"),"N/A"))</f>
        <v>Slow</v>
      </c>
      <c r="T13" s="5" t="str">
        <f>IF(AND(B13=TRUE(),ISNUMBER(Clean_Data!J13),ISNUMBER(Clean_Data!I13)),Clean_Data!J13&lt;=Clean_Data!I13,"")</f>
        <v/>
      </c>
      <c r="U13" s="20" t="b">
        <f>IF(NOT(ISNUMBER(Clean_Data!L13)),FALSE(),AND(Clean_Data!L13&gt;=0,Clean_Data!L13&lt;=1))</f>
        <v>1</v>
      </c>
    </row>
    <row r="14" spans="1:21" x14ac:dyDescent="0.3">
      <c r="A14" s="2" t="str">
        <f>Clean_Data!A14</f>
        <v>TSK-0013</v>
      </c>
      <c r="B14" s="19" t="b">
        <f>Clean_Data!K14="Completed"</f>
        <v>0</v>
      </c>
      <c r="C14" s="19" t="b">
        <f>OR(Clean_Data!K14="Not Started",Clean_Data!K14="In Progress",Clean_Data!K14="On Hold")</f>
        <v>0</v>
      </c>
      <c r="D14" s="19" t="b">
        <f ca="1">AND(ISNUMBER(Clean_Data!I14),Clean_Data!I14&lt;TODAY(),Clean_Data!K14&lt;&gt;"Completed",Clean_Data!K14&lt;&gt;"Cancelled")</f>
        <v>0</v>
      </c>
      <c r="E14" s="2" t="str">
        <f ca="1">IF(AND(ISNUMBER(Clean_Data!H14),Clean_Data!K14&lt;&gt;"Completed",Clean_Data!K14&lt;&gt;"Cancelled"),TODAY()-Clean_Data!H14,"")</f>
        <v/>
      </c>
      <c r="F14" s="2" t="str">
        <f ca="1">IF(AND(B14=TRUE(),ISNUMBER(Clean_Data!J14),ISNUMBER(Clean_Data!I14)),MAX(0,Clean_Data!J14-Clean_Data!I14),IF(AND(B14=FALSE(),ISNUMBER(Clean_Data!I14),Clean_Data!I14&lt;TODAY(),Clean_Data!K14&lt;&gt;"Cancelled"),MAX(0,TODAY()-Clean_Data!I14),""))</f>
        <v/>
      </c>
      <c r="G14" s="2" t="str">
        <f>IF(AND(B14=TRUE(),ISNUMBER(Clean_Data!J14),ISNUMBER(Clean_Data!H14)),Clean_Data!J14-Clean_Data!H14,"")</f>
        <v/>
      </c>
      <c r="H14" s="2">
        <f ca="1">IF(AND(ISNUMBER(Clean_Data!J14),ISNUMBER(Clean_Data!H14)),Clean_Data!J14-Clean_Data!H14,IF(ISNUMBER(Clean_Data!H14),TODAY()-Clean_Data!H14,""))</f>
        <v>661</v>
      </c>
      <c r="I14" s="2" t="str">
        <f>IF(ISNUMBER(Clean_Data!I14),TEXT(Clean_Data!I14,"YYYY-MM"),"")</f>
        <v>2024-07</v>
      </c>
      <c r="J14" s="2" t="str">
        <f>IF(ISNUMBER(Clean_Data!H14),TEXT(Clean_Data!H14,"YYYY-MM"),"")</f>
        <v>2024-06</v>
      </c>
      <c r="K14" s="2" t="str">
        <f>IF(ISNUMBER(Clean_Data!J14),TEXT(Clean_Data!J14,"YYYY-MM"),"")</f>
        <v/>
      </c>
      <c r="L14" s="2">
        <f>IF(ISNUMBER(Clean_Data!H14),YEAR(Clean_Data!H14),"")</f>
        <v>2024</v>
      </c>
      <c r="M14" s="2">
        <f>IF(ISNUMBER(Clean_Data!H14),MONTH(Clean_Data!H14),"")</f>
        <v>6</v>
      </c>
      <c r="N14" s="2" t="str">
        <f>IF(ISNUMBER(Clean_Data!H14),TEXT(Clean_Data!H14,"MMMM"),"")</f>
        <v>June</v>
      </c>
      <c r="O14" s="19" t="b">
        <f t="shared" ca="1" si="0"/>
        <v>0</v>
      </c>
      <c r="P14" s="19" t="b">
        <f>AND(OR(Clean_Data!F14="High",Clean_Data!F14="Critical"),C14=TRUE())</f>
        <v>0</v>
      </c>
      <c r="Q14" s="19" t="b">
        <f ca="1">AND(OR(Clean_Data!F14="High",Clean_Data!F14="Critical"),D14=TRUE())</f>
        <v>0</v>
      </c>
      <c r="R14" s="19" t="b">
        <f ca="1">AND(Clean_Data!K14="In Progress",ISNUMBER(Clean_Data!H14),TODAY()-Clean_Data!H14&gt;30)</f>
        <v>0</v>
      </c>
      <c r="S14" s="2" t="str">
        <f>IF(B14=TRUE(),IF(AND(ISNUMBER(Clean_Data!N14),ISNUMBER(Clean_Data!M14),Clean_Data!M14&gt;0),IF(Clean_Data!N14&lt;=Clean_Data!M14*1.2,"Healthy","Over Budget"),"N/A"),IF(AND(Clean_Data!K14="In Progress",ISNUMBER(Clean_Data!L14)),IF(Clean_Data!L14&gt;=0.5,"On Track","Slow"),"N/A"))</f>
        <v>N/A</v>
      </c>
      <c r="T14" s="2" t="str">
        <f>IF(AND(B14=TRUE(),ISNUMBER(Clean_Data!J14),ISNUMBER(Clean_Data!I14)),Clean_Data!J14&lt;=Clean_Data!I14,"")</f>
        <v/>
      </c>
      <c r="U14" s="19" t="b">
        <f>IF(NOT(ISNUMBER(Clean_Data!L14)),FALSE(),AND(Clean_Data!L14&gt;=0,Clean_Data!L14&lt;=1))</f>
        <v>1</v>
      </c>
    </row>
    <row r="15" spans="1:21" x14ac:dyDescent="0.3">
      <c r="A15" s="5" t="str">
        <f>Clean_Data!A15</f>
        <v>TSK-0014</v>
      </c>
      <c r="B15" s="20" t="b">
        <f>Clean_Data!K15="Completed"</f>
        <v>1</v>
      </c>
      <c r="C15" s="20" t="b">
        <f>OR(Clean_Data!K15="Not Started",Clean_Data!K15="In Progress",Clean_Data!K15="On Hold")</f>
        <v>0</v>
      </c>
      <c r="D15" s="20" t="b">
        <f ca="1">AND(ISNUMBER(Clean_Data!I15),Clean_Data!I15&lt;TODAY(),Clean_Data!K15&lt;&gt;"Completed",Clean_Data!K15&lt;&gt;"Cancelled")</f>
        <v>0</v>
      </c>
      <c r="E15" s="5" t="str">
        <f ca="1">IF(AND(ISNUMBER(Clean_Data!H15),Clean_Data!K15&lt;&gt;"Completed",Clean_Data!K15&lt;&gt;"Cancelled"),TODAY()-Clean_Data!H15,"")</f>
        <v/>
      </c>
      <c r="F15" s="5">
        <f ca="1">IF(AND(B15=TRUE(),ISNUMBER(Clean_Data!J15),ISNUMBER(Clean_Data!I15)),MAX(0,Clean_Data!J15-Clean_Data!I15),IF(AND(B15=FALSE(),ISNUMBER(Clean_Data!I15),Clean_Data!I15&lt;TODAY(),Clean_Data!K15&lt;&gt;"Cancelled"),MAX(0,TODAY()-Clean_Data!I15),""))</f>
        <v>11</v>
      </c>
      <c r="G15" s="5">
        <f>IF(AND(B15=TRUE(),ISNUMBER(Clean_Data!J15),ISNUMBER(Clean_Data!H15)),Clean_Data!J15-Clean_Data!H15,"")</f>
        <v>22</v>
      </c>
      <c r="H15" s="5">
        <f ca="1">IF(AND(ISNUMBER(Clean_Data!J15),ISNUMBER(Clean_Data!H15)),Clean_Data!J15-Clean_Data!H15,IF(ISNUMBER(Clean_Data!H15),TODAY()-Clean_Data!H15,""))</f>
        <v>22</v>
      </c>
      <c r="I15" s="5" t="str">
        <f>IF(ISNUMBER(Clean_Data!I15),TEXT(Clean_Data!I15,"YYYY-MM"),"")</f>
        <v>2024-04</v>
      </c>
      <c r="J15" s="5" t="str">
        <f>IF(ISNUMBER(Clean_Data!H15),TEXT(Clean_Data!H15,"YYYY-MM"),"")</f>
        <v>2024-04</v>
      </c>
      <c r="K15" s="5" t="str">
        <f>IF(ISNUMBER(Clean_Data!J15),TEXT(Clean_Data!J15,"YYYY-MM"),"")</f>
        <v>2024-05</v>
      </c>
      <c r="L15" s="5">
        <f>IF(ISNUMBER(Clean_Data!H15),YEAR(Clean_Data!H15),"")</f>
        <v>2024</v>
      </c>
      <c r="M15" s="5">
        <f>IF(ISNUMBER(Clean_Data!H15),MONTH(Clean_Data!H15),"")</f>
        <v>4</v>
      </c>
      <c r="N15" s="5" t="str">
        <f>IF(ISNUMBER(Clean_Data!H15),TEXT(Clean_Data!H15,"MMMM"),"")</f>
        <v>April</v>
      </c>
      <c r="O15" s="20" t="b">
        <f t="shared" ca="1" si="0"/>
        <v>0</v>
      </c>
      <c r="P15" s="20" t="b">
        <f>AND(OR(Clean_Data!F15="High",Clean_Data!F15="Critical"),C15=TRUE())</f>
        <v>0</v>
      </c>
      <c r="Q15" s="20" t="b">
        <f ca="1">AND(OR(Clean_Data!F15="High",Clean_Data!F15="Critical"),D15=TRUE())</f>
        <v>0</v>
      </c>
      <c r="R15" s="20" t="b">
        <f ca="1">AND(Clean_Data!K15="In Progress",ISNUMBER(Clean_Data!H15),TODAY()-Clean_Data!H15&gt;30)</f>
        <v>0</v>
      </c>
      <c r="S15" s="5" t="str">
        <f>IF(B15=TRUE(),IF(AND(ISNUMBER(Clean_Data!N15),ISNUMBER(Clean_Data!M15),Clean_Data!M15&gt;0),IF(Clean_Data!N15&lt;=Clean_Data!M15*1.2,"Healthy","Over Budget"),"N/A"),IF(AND(Clean_Data!K15="In Progress",ISNUMBER(Clean_Data!L15)),IF(Clean_Data!L15&gt;=0.5,"On Track","Slow"),"N/A"))</f>
        <v>Healthy</v>
      </c>
      <c r="T15" s="20" t="b">
        <f>IF(AND(B15=TRUE(),ISNUMBER(Clean_Data!J15),ISNUMBER(Clean_Data!I15)),Clean_Data!J15&lt;=Clean_Data!I15,"")</f>
        <v>0</v>
      </c>
      <c r="U15" s="20" t="b">
        <f>IF(NOT(ISNUMBER(Clean_Data!L15)),FALSE(),AND(Clean_Data!L15&gt;=0,Clean_Data!L15&lt;=1))</f>
        <v>1</v>
      </c>
    </row>
    <row r="16" spans="1:21" x14ac:dyDescent="0.3">
      <c r="A16" s="2" t="str">
        <f>Clean_Data!A16</f>
        <v>TSK-0015</v>
      </c>
      <c r="B16" s="19" t="b">
        <f>Clean_Data!K16="Completed"</f>
        <v>0</v>
      </c>
      <c r="C16" s="19" t="b">
        <f>OR(Clean_Data!K16="Not Started",Clean_Data!K16="In Progress",Clean_Data!K16="On Hold")</f>
        <v>1</v>
      </c>
      <c r="D16" s="19" t="b">
        <f ca="1">AND(ISNUMBER(Clean_Data!I16),Clean_Data!I16&lt;TODAY(),Clean_Data!K16&lt;&gt;"Completed",Clean_Data!K16&lt;&gt;"Cancelled")</f>
        <v>1</v>
      </c>
      <c r="E16" s="2">
        <f ca="1">IF(AND(ISNUMBER(Clean_Data!H16),Clean_Data!K16&lt;&gt;"Completed",Clean_Data!K16&lt;&gt;"Cancelled"),TODAY()-Clean_Data!H16,"")</f>
        <v>703</v>
      </c>
      <c r="F16" s="2">
        <f ca="1">IF(AND(B16=TRUE(),ISNUMBER(Clean_Data!J16),ISNUMBER(Clean_Data!I16)),MAX(0,Clean_Data!J16-Clean_Data!I16),IF(AND(B16=FALSE(),ISNUMBER(Clean_Data!I16),Clean_Data!I16&lt;TODAY(),Clean_Data!K16&lt;&gt;"Cancelled"),MAX(0,TODAY()-Clean_Data!I16),""))</f>
        <v>686</v>
      </c>
      <c r="G16" s="2" t="str">
        <f>IF(AND(B16=TRUE(),ISNUMBER(Clean_Data!J16),ISNUMBER(Clean_Data!H16)),Clean_Data!J16-Clean_Data!H16,"")</f>
        <v/>
      </c>
      <c r="H16" s="2">
        <f ca="1">IF(AND(ISNUMBER(Clean_Data!J16),ISNUMBER(Clean_Data!H16)),Clean_Data!J16-Clean_Data!H16,IF(ISNUMBER(Clean_Data!H16),TODAY()-Clean_Data!H16,""))</f>
        <v>703</v>
      </c>
      <c r="I16" s="2" t="str">
        <f>IF(ISNUMBER(Clean_Data!I16),TEXT(Clean_Data!I16,"YYYY-MM"),"")</f>
        <v>2024-05</v>
      </c>
      <c r="J16" s="2" t="str">
        <f>IF(ISNUMBER(Clean_Data!H16),TEXT(Clean_Data!H16,"YYYY-MM"),"")</f>
        <v>2024-05</v>
      </c>
      <c r="K16" s="2" t="str">
        <f>IF(ISNUMBER(Clean_Data!J16),TEXT(Clean_Data!J16,"YYYY-MM"),"")</f>
        <v/>
      </c>
      <c r="L16" s="2">
        <f>IF(ISNUMBER(Clean_Data!H16),YEAR(Clean_Data!H16),"")</f>
        <v>2024</v>
      </c>
      <c r="M16" s="2">
        <f>IF(ISNUMBER(Clean_Data!H16),MONTH(Clean_Data!H16),"")</f>
        <v>5</v>
      </c>
      <c r="N16" s="2" t="str">
        <f>IF(ISNUMBER(Clean_Data!H16),TEXT(Clean_Data!H16,"MMMM"),"")</f>
        <v>May</v>
      </c>
      <c r="O16" s="19" t="b">
        <f t="shared" ca="1" si="0"/>
        <v>1</v>
      </c>
      <c r="P16" s="19" t="b">
        <f>AND(OR(Clean_Data!F16="High",Clean_Data!F16="Critical"),C16=TRUE())</f>
        <v>1</v>
      </c>
      <c r="Q16" s="19" t="b">
        <f ca="1">AND(OR(Clean_Data!F16="High",Clean_Data!F16="Critical"),D16=TRUE())</f>
        <v>1</v>
      </c>
      <c r="R16" s="19" t="b">
        <f ca="1">AND(Clean_Data!K16="In Progress",ISNUMBER(Clean_Data!H16),TODAY()-Clean_Data!H16&gt;30)</f>
        <v>1</v>
      </c>
      <c r="S16" s="2" t="str">
        <f>IF(B16=TRUE(),IF(AND(ISNUMBER(Clean_Data!N16),ISNUMBER(Clean_Data!M16),Clean_Data!M16&gt;0),IF(Clean_Data!N16&lt;=Clean_Data!M16*1.2,"Healthy","Over Budget"),"N/A"),IF(AND(Clean_Data!K16="In Progress",ISNUMBER(Clean_Data!L16)),IF(Clean_Data!L16&gt;=0.5,"On Track","Slow"),"N/A"))</f>
        <v>N/A</v>
      </c>
      <c r="T16" s="2" t="str">
        <f>IF(AND(B16=TRUE(),ISNUMBER(Clean_Data!J16),ISNUMBER(Clean_Data!I16)),Clean_Data!J16&lt;=Clean_Data!I16,"")</f>
        <v/>
      </c>
      <c r="U16" s="19" t="b">
        <f>IF(NOT(ISNUMBER(Clean_Data!L16)),FALSE(),AND(Clean_Data!L16&gt;=0,Clean_Data!L16&lt;=1))</f>
        <v>0</v>
      </c>
    </row>
    <row r="17" spans="1:21" x14ac:dyDescent="0.3">
      <c r="A17" s="5" t="str">
        <f>Clean_Data!A17</f>
        <v>TSK-0016</v>
      </c>
      <c r="B17" s="20" t="b">
        <f>Clean_Data!K17="Completed"</f>
        <v>0</v>
      </c>
      <c r="C17" s="20" t="b">
        <f>OR(Clean_Data!K17="Not Started",Clean_Data!K17="In Progress",Clean_Data!K17="On Hold")</f>
        <v>0</v>
      </c>
      <c r="D17" s="20" t="b">
        <f ca="1">AND(ISNUMBER(Clean_Data!I17),Clean_Data!I17&lt;TODAY(),Clean_Data!K17&lt;&gt;"Completed",Clean_Data!K17&lt;&gt;"Cancelled")</f>
        <v>0</v>
      </c>
      <c r="E17" s="5" t="str">
        <f ca="1">IF(AND(ISNUMBER(Clean_Data!H17),Clean_Data!K17&lt;&gt;"Completed",Clean_Data!K17&lt;&gt;"Cancelled"),TODAY()-Clean_Data!H17,"")</f>
        <v/>
      </c>
      <c r="F17" s="5" t="str">
        <f ca="1">IF(AND(B17=TRUE(),ISNUMBER(Clean_Data!J17),ISNUMBER(Clean_Data!I17)),MAX(0,Clean_Data!J17-Clean_Data!I17),IF(AND(B17=FALSE(),ISNUMBER(Clean_Data!I17),Clean_Data!I17&lt;TODAY(),Clean_Data!K17&lt;&gt;"Cancelled"),MAX(0,TODAY()-Clean_Data!I17),""))</f>
        <v/>
      </c>
      <c r="G17" s="5" t="str">
        <f>IF(AND(B17=TRUE(),ISNUMBER(Clean_Data!J17),ISNUMBER(Clean_Data!H17)),Clean_Data!J17-Clean_Data!H17,"")</f>
        <v/>
      </c>
      <c r="H17" s="5">
        <f ca="1">IF(AND(ISNUMBER(Clean_Data!J17),ISNUMBER(Clean_Data!H17)),Clean_Data!J17-Clean_Data!H17,IF(ISNUMBER(Clean_Data!H17),TODAY()-Clean_Data!H17,""))</f>
        <v>745</v>
      </c>
      <c r="I17" s="5" t="str">
        <f>IF(ISNUMBER(Clean_Data!I17),TEXT(Clean_Data!I17,"YYYY-MM"),"")</f>
        <v>2024-04</v>
      </c>
      <c r="J17" s="5" t="str">
        <f>IF(ISNUMBER(Clean_Data!H17),TEXT(Clean_Data!H17,"YYYY-MM"),"")</f>
        <v>2024-03</v>
      </c>
      <c r="K17" s="5" t="str">
        <f>IF(ISNUMBER(Clean_Data!J17),TEXT(Clean_Data!J17,"YYYY-MM"),"")</f>
        <v/>
      </c>
      <c r="L17" s="5">
        <f>IF(ISNUMBER(Clean_Data!H17),YEAR(Clean_Data!H17),"")</f>
        <v>2024</v>
      </c>
      <c r="M17" s="5">
        <f>IF(ISNUMBER(Clean_Data!H17),MONTH(Clean_Data!H17),"")</f>
        <v>3</v>
      </c>
      <c r="N17" s="5" t="str">
        <f>IF(ISNUMBER(Clean_Data!H17),TEXT(Clean_Data!H17,"MMMM"),"")</f>
        <v>March</v>
      </c>
      <c r="O17" s="20" t="b">
        <f t="shared" ca="1" si="0"/>
        <v>0</v>
      </c>
      <c r="P17" s="20" t="b">
        <f>AND(OR(Clean_Data!F17="High",Clean_Data!F17="Critical"),C17=TRUE())</f>
        <v>0</v>
      </c>
      <c r="Q17" s="20" t="b">
        <f ca="1">AND(OR(Clean_Data!F17="High",Clean_Data!F17="Critical"),D17=TRUE())</f>
        <v>0</v>
      </c>
      <c r="R17" s="20" t="b">
        <f ca="1">AND(Clean_Data!K17="In Progress",ISNUMBER(Clean_Data!H17),TODAY()-Clean_Data!H17&gt;30)</f>
        <v>0</v>
      </c>
      <c r="S17" s="5" t="str">
        <f>IF(B17=TRUE(),IF(AND(ISNUMBER(Clean_Data!N17),ISNUMBER(Clean_Data!M17),Clean_Data!M17&gt;0),IF(Clean_Data!N17&lt;=Clean_Data!M17*1.2,"Healthy","Over Budget"),"N/A"),IF(AND(Clean_Data!K17="In Progress",ISNUMBER(Clean_Data!L17)),IF(Clean_Data!L17&gt;=0.5,"On Track","Slow"),"N/A"))</f>
        <v>N/A</v>
      </c>
      <c r="T17" s="5" t="str">
        <f>IF(AND(B17=TRUE(),ISNUMBER(Clean_Data!J17),ISNUMBER(Clean_Data!I17)),Clean_Data!J17&lt;=Clean_Data!I17,"")</f>
        <v/>
      </c>
      <c r="U17" s="20" t="b">
        <f>IF(NOT(ISNUMBER(Clean_Data!L17)),FALSE(),AND(Clean_Data!L17&gt;=0,Clean_Data!L17&lt;=1))</f>
        <v>0</v>
      </c>
    </row>
    <row r="18" spans="1:21" x14ac:dyDescent="0.3">
      <c r="A18" s="2" t="str">
        <f>Clean_Data!A18</f>
        <v>TSK-0017</v>
      </c>
      <c r="B18" s="19" t="b">
        <f>Clean_Data!K18="Completed"</f>
        <v>0</v>
      </c>
      <c r="C18" s="19" t="b">
        <f>OR(Clean_Data!K18="Not Started",Clean_Data!K18="In Progress",Clean_Data!K18="On Hold")</f>
        <v>0</v>
      </c>
      <c r="D18" s="19" t="b">
        <f ca="1">AND(ISNUMBER(Clean_Data!I18),Clean_Data!I18&lt;TODAY(),Clean_Data!K18&lt;&gt;"Completed",Clean_Data!K18&lt;&gt;"Cancelled")</f>
        <v>0</v>
      </c>
      <c r="E18" s="2" t="str">
        <f ca="1">IF(AND(ISNUMBER(Clean_Data!H18),Clean_Data!K18&lt;&gt;"Completed",Clean_Data!K18&lt;&gt;"Cancelled"),TODAY()-Clean_Data!H18,"")</f>
        <v/>
      </c>
      <c r="F18" s="2" t="str">
        <f ca="1">IF(AND(B18=TRUE(),ISNUMBER(Clean_Data!J18),ISNUMBER(Clean_Data!I18)),MAX(0,Clean_Data!J18-Clean_Data!I18),IF(AND(B18=FALSE(),ISNUMBER(Clean_Data!I18),Clean_Data!I18&lt;TODAY(),Clean_Data!K18&lt;&gt;"Cancelled"),MAX(0,TODAY()-Clean_Data!I18),""))</f>
        <v/>
      </c>
      <c r="G18" s="2" t="str">
        <f>IF(AND(B18=TRUE(),ISNUMBER(Clean_Data!J18),ISNUMBER(Clean_Data!H18)),Clean_Data!J18-Clean_Data!H18,"")</f>
        <v/>
      </c>
      <c r="H18" s="2">
        <f ca="1">IF(AND(ISNUMBER(Clean_Data!J18),ISNUMBER(Clean_Data!H18)),Clean_Data!J18-Clean_Data!H18,IF(ISNUMBER(Clean_Data!H18),TODAY()-Clean_Data!H18,""))</f>
        <v>684</v>
      </c>
      <c r="I18" s="2" t="str">
        <f>IF(ISNUMBER(Clean_Data!I18),TEXT(Clean_Data!I18,"YYYY-MM"),"")</f>
        <v>2024-07</v>
      </c>
      <c r="J18" s="2" t="str">
        <f>IF(ISNUMBER(Clean_Data!H18),TEXT(Clean_Data!H18,"YYYY-MM"),"")</f>
        <v>2024-05</v>
      </c>
      <c r="K18" s="2" t="str">
        <f>IF(ISNUMBER(Clean_Data!J18),TEXT(Clean_Data!J18,"YYYY-MM"),"")</f>
        <v/>
      </c>
      <c r="L18" s="2">
        <f>IF(ISNUMBER(Clean_Data!H18),YEAR(Clean_Data!H18),"")</f>
        <v>2024</v>
      </c>
      <c r="M18" s="2">
        <f>IF(ISNUMBER(Clean_Data!H18),MONTH(Clean_Data!H18),"")</f>
        <v>5</v>
      </c>
      <c r="N18" s="2" t="str">
        <f>IF(ISNUMBER(Clean_Data!H18),TEXT(Clean_Data!H18,"MMMM"),"")</f>
        <v>May</v>
      </c>
      <c r="O18" s="19" t="b">
        <f t="shared" ca="1" si="0"/>
        <v>0</v>
      </c>
      <c r="P18" s="19" t="b">
        <f>AND(OR(Clean_Data!F18="High",Clean_Data!F18="Critical"),C18=TRUE())</f>
        <v>0</v>
      </c>
      <c r="Q18" s="19" t="b">
        <f ca="1">AND(OR(Clean_Data!F18="High",Clean_Data!F18="Critical"),D18=TRUE())</f>
        <v>0</v>
      </c>
      <c r="R18" s="19" t="b">
        <f ca="1">AND(Clean_Data!K18="In Progress",ISNUMBER(Clean_Data!H18),TODAY()-Clean_Data!H18&gt;30)</f>
        <v>0</v>
      </c>
      <c r="S18" s="2" t="str">
        <f>IF(B18=TRUE(),IF(AND(ISNUMBER(Clean_Data!N18),ISNUMBER(Clean_Data!M18),Clean_Data!M18&gt;0),IF(Clean_Data!N18&lt;=Clean_Data!M18*1.2,"Healthy","Over Budget"),"N/A"),IF(AND(Clean_Data!K18="In Progress",ISNUMBER(Clean_Data!L18)),IF(Clean_Data!L18&gt;=0.5,"On Track","Slow"),"N/A"))</f>
        <v>N/A</v>
      </c>
      <c r="T18" s="2" t="str">
        <f>IF(AND(B18=TRUE(),ISNUMBER(Clean_Data!J18),ISNUMBER(Clean_Data!I18)),Clean_Data!J18&lt;=Clean_Data!I18,"")</f>
        <v/>
      </c>
      <c r="U18" s="19" t="b">
        <f>IF(NOT(ISNUMBER(Clean_Data!L18)),FALSE(),AND(Clean_Data!L18&gt;=0,Clean_Data!L18&lt;=1))</f>
        <v>1</v>
      </c>
    </row>
    <row r="19" spans="1:21" x14ac:dyDescent="0.3">
      <c r="A19" s="5" t="str">
        <f>Clean_Data!A19</f>
        <v>TSK-0018</v>
      </c>
      <c r="B19" s="20" t="b">
        <f>Clean_Data!K19="Completed"</f>
        <v>0</v>
      </c>
      <c r="C19" s="20" t="b">
        <f>OR(Clean_Data!K19="Not Started",Clean_Data!K19="In Progress",Clean_Data!K19="On Hold")</f>
        <v>0</v>
      </c>
      <c r="D19" s="20" t="b">
        <f ca="1">AND(ISNUMBER(Clean_Data!I19),Clean_Data!I19&lt;TODAY(),Clean_Data!K19&lt;&gt;"Completed",Clean_Data!K19&lt;&gt;"Cancelled")</f>
        <v>0</v>
      </c>
      <c r="E19" s="5" t="str">
        <f ca="1">IF(AND(ISNUMBER(Clean_Data!H19),Clean_Data!K19&lt;&gt;"Completed",Clean_Data!K19&lt;&gt;"Cancelled"),TODAY()-Clean_Data!H19,"")</f>
        <v/>
      </c>
      <c r="F19" s="5" t="str">
        <f ca="1">IF(AND(B19=TRUE(),ISNUMBER(Clean_Data!J19),ISNUMBER(Clean_Data!I19)),MAX(0,Clean_Data!J19-Clean_Data!I19),IF(AND(B19=FALSE(),ISNUMBER(Clean_Data!I19),Clean_Data!I19&lt;TODAY(),Clean_Data!K19&lt;&gt;"Cancelled"),MAX(0,TODAY()-Clean_Data!I19),""))</f>
        <v/>
      </c>
      <c r="G19" s="5" t="str">
        <f>IF(AND(B19=TRUE(),ISNUMBER(Clean_Data!J19),ISNUMBER(Clean_Data!H19)),Clean_Data!J19-Clean_Data!H19,"")</f>
        <v/>
      </c>
      <c r="H19" s="5">
        <f ca="1">IF(AND(ISNUMBER(Clean_Data!J19),ISNUMBER(Clean_Data!H19)),Clean_Data!J19-Clean_Data!H19,IF(ISNUMBER(Clean_Data!H19),TODAY()-Clean_Data!H19,""))</f>
        <v>531</v>
      </c>
      <c r="I19" s="5" t="str">
        <f>IF(ISNUMBER(Clean_Data!I19),TEXT(Clean_Data!I19,"YYYY-MM"),"")</f>
        <v>2024-12</v>
      </c>
      <c r="J19" s="5" t="str">
        <f>IF(ISNUMBER(Clean_Data!H19),TEXT(Clean_Data!H19,"YYYY-MM"),"")</f>
        <v>2024-10</v>
      </c>
      <c r="K19" s="5" t="str">
        <f>IF(ISNUMBER(Clean_Data!J19),TEXT(Clean_Data!J19,"YYYY-MM"),"")</f>
        <v/>
      </c>
      <c r="L19" s="5">
        <f>IF(ISNUMBER(Clean_Data!H19),YEAR(Clean_Data!H19),"")</f>
        <v>2024</v>
      </c>
      <c r="M19" s="5">
        <f>IF(ISNUMBER(Clean_Data!H19),MONTH(Clean_Data!H19),"")</f>
        <v>10</v>
      </c>
      <c r="N19" s="5" t="str">
        <f>IF(ISNUMBER(Clean_Data!H19),TEXT(Clean_Data!H19,"MMMM"),"")</f>
        <v>October</v>
      </c>
      <c r="O19" s="20" t="b">
        <f t="shared" ca="1" si="0"/>
        <v>0</v>
      </c>
      <c r="P19" s="20" t="b">
        <f>AND(OR(Clean_Data!F19="High",Clean_Data!F19="Critical"),C19=TRUE())</f>
        <v>0</v>
      </c>
      <c r="Q19" s="20" t="b">
        <f ca="1">AND(OR(Clean_Data!F19="High",Clean_Data!F19="Critical"),D19=TRUE())</f>
        <v>0</v>
      </c>
      <c r="R19" s="20" t="b">
        <f ca="1">AND(Clean_Data!K19="In Progress",ISNUMBER(Clean_Data!H19),TODAY()-Clean_Data!H19&gt;30)</f>
        <v>0</v>
      </c>
      <c r="S19" s="5" t="str">
        <f>IF(B19=TRUE(),IF(AND(ISNUMBER(Clean_Data!N19),ISNUMBER(Clean_Data!M19),Clean_Data!M19&gt;0),IF(Clean_Data!N19&lt;=Clean_Data!M19*1.2,"Healthy","Over Budget"),"N/A"),IF(AND(Clean_Data!K19="In Progress",ISNUMBER(Clean_Data!L19)),IF(Clean_Data!L19&gt;=0.5,"On Track","Slow"),"N/A"))</f>
        <v>N/A</v>
      </c>
      <c r="T19" s="5" t="str">
        <f>IF(AND(B19=TRUE(),ISNUMBER(Clean_Data!J19),ISNUMBER(Clean_Data!I19)),Clean_Data!J19&lt;=Clean_Data!I19,"")</f>
        <v/>
      </c>
      <c r="U19" s="20" t="b">
        <f>IF(NOT(ISNUMBER(Clean_Data!L19)),FALSE(),AND(Clean_Data!L19&gt;=0,Clean_Data!L19&lt;=1))</f>
        <v>0</v>
      </c>
    </row>
    <row r="20" spans="1:21" x14ac:dyDescent="0.3">
      <c r="A20" s="2" t="str">
        <f>Clean_Data!A20</f>
        <v>TSK-0019</v>
      </c>
      <c r="B20" s="19" t="b">
        <f>Clean_Data!K20="Completed"</f>
        <v>1</v>
      </c>
      <c r="C20" s="19" t="b">
        <f>OR(Clean_Data!K20="Not Started",Clean_Data!K20="In Progress",Clean_Data!K20="On Hold")</f>
        <v>0</v>
      </c>
      <c r="D20" s="19" t="b">
        <f ca="1">AND(ISNUMBER(Clean_Data!I20),Clean_Data!I20&lt;TODAY(),Clean_Data!K20&lt;&gt;"Completed",Clean_Data!K20&lt;&gt;"Cancelled")</f>
        <v>0</v>
      </c>
      <c r="E20" s="2" t="str">
        <f ca="1">IF(AND(ISNUMBER(Clean_Data!H20),Clean_Data!K20&lt;&gt;"Completed",Clean_Data!K20&lt;&gt;"Cancelled"),TODAY()-Clean_Data!H20,"")</f>
        <v/>
      </c>
      <c r="F20" s="2">
        <f ca="1">IF(AND(B20=TRUE(),ISNUMBER(Clean_Data!J20),ISNUMBER(Clean_Data!I20)),MAX(0,Clean_Data!J20-Clean_Data!I20),IF(AND(B20=FALSE(),ISNUMBER(Clean_Data!I20),Clean_Data!I20&lt;TODAY(),Clean_Data!K20&lt;&gt;"Cancelled"),MAX(0,TODAY()-Clean_Data!I20),""))</f>
        <v>9</v>
      </c>
      <c r="G20" s="2">
        <f>IF(AND(B20=TRUE(),ISNUMBER(Clean_Data!J20),ISNUMBER(Clean_Data!H20)),Clean_Data!J20-Clean_Data!H20,"")</f>
        <v>29</v>
      </c>
      <c r="H20" s="2">
        <f ca="1">IF(AND(ISNUMBER(Clean_Data!J20),ISNUMBER(Clean_Data!H20)),Clean_Data!J20-Clean_Data!H20,IF(ISNUMBER(Clean_Data!H20),TODAY()-Clean_Data!H20,""))</f>
        <v>29</v>
      </c>
      <c r="I20" s="2" t="str">
        <f>IF(ISNUMBER(Clean_Data!I20),TEXT(Clean_Data!I20,"YYYY-MM"),"")</f>
        <v>2024-11</v>
      </c>
      <c r="J20" s="2" t="str">
        <f>IF(ISNUMBER(Clean_Data!H20),TEXT(Clean_Data!H20,"YYYY-MM"),"")</f>
        <v>2024-10</v>
      </c>
      <c r="K20" s="2" t="str">
        <f>IF(ISNUMBER(Clean_Data!J20),TEXT(Clean_Data!J20,"YYYY-MM"),"")</f>
        <v>2024-11</v>
      </c>
      <c r="L20" s="2">
        <f>IF(ISNUMBER(Clean_Data!H20),YEAR(Clean_Data!H20),"")</f>
        <v>2024</v>
      </c>
      <c r="M20" s="2">
        <f>IF(ISNUMBER(Clean_Data!H20),MONTH(Clean_Data!H20),"")</f>
        <v>10</v>
      </c>
      <c r="N20" s="2" t="str">
        <f>IF(ISNUMBER(Clean_Data!H20),TEXT(Clean_Data!H20,"MMMM"),"")</f>
        <v>October</v>
      </c>
      <c r="O20" s="19" t="b">
        <f t="shared" ca="1" si="0"/>
        <v>0</v>
      </c>
      <c r="P20" s="19" t="b">
        <f>AND(OR(Clean_Data!F20="High",Clean_Data!F20="Critical"),C20=TRUE())</f>
        <v>0</v>
      </c>
      <c r="Q20" s="19" t="b">
        <f ca="1">AND(OR(Clean_Data!F20="High",Clean_Data!F20="Critical"),D20=TRUE())</f>
        <v>0</v>
      </c>
      <c r="R20" s="19" t="b">
        <f ca="1">AND(Clean_Data!K20="In Progress",ISNUMBER(Clean_Data!H20),TODAY()-Clean_Data!H20&gt;30)</f>
        <v>0</v>
      </c>
      <c r="S20" s="2" t="str">
        <f>IF(B20=TRUE(),IF(AND(ISNUMBER(Clean_Data!N20),ISNUMBER(Clean_Data!M20),Clean_Data!M20&gt;0),IF(Clean_Data!N20&lt;=Clean_Data!M20*1.2,"Healthy","Over Budget"),"N/A"),IF(AND(Clean_Data!K20="In Progress",ISNUMBER(Clean_Data!L20)),IF(Clean_Data!L20&gt;=0.5,"On Track","Slow"),"N/A"))</f>
        <v>Over Budget</v>
      </c>
      <c r="T20" s="19" t="b">
        <f>IF(AND(B20=TRUE(),ISNUMBER(Clean_Data!J20),ISNUMBER(Clean_Data!I20)),Clean_Data!J20&lt;=Clean_Data!I20,"")</f>
        <v>0</v>
      </c>
      <c r="U20" s="19" t="b">
        <f>IF(NOT(ISNUMBER(Clean_Data!L20)),FALSE(),AND(Clean_Data!L20&gt;=0,Clean_Data!L20&lt;=1))</f>
        <v>1</v>
      </c>
    </row>
    <row r="21" spans="1:21" x14ac:dyDescent="0.3">
      <c r="A21" s="5" t="str">
        <f>Clean_Data!A21</f>
        <v>TSK-0020</v>
      </c>
      <c r="B21" s="20" t="b">
        <f>Clean_Data!K21="Completed"</f>
        <v>0</v>
      </c>
      <c r="C21" s="20" t="b">
        <f>OR(Clean_Data!K21="Not Started",Clean_Data!K21="In Progress",Clean_Data!K21="On Hold")</f>
        <v>1</v>
      </c>
      <c r="D21" s="20" t="b">
        <f ca="1">AND(ISNUMBER(Clean_Data!I21),Clean_Data!I21&lt;TODAY(),Clean_Data!K21&lt;&gt;"Completed",Clean_Data!K21&lt;&gt;"Cancelled")</f>
        <v>1</v>
      </c>
      <c r="E21" s="5">
        <f ca="1">IF(AND(ISNUMBER(Clean_Data!H21),Clean_Data!K21&lt;&gt;"Completed",Clean_Data!K21&lt;&gt;"Cancelled"),TODAY()-Clean_Data!H21,"")</f>
        <v>487</v>
      </c>
      <c r="F21" s="5">
        <f ca="1">IF(AND(B21=TRUE(),ISNUMBER(Clean_Data!J21),ISNUMBER(Clean_Data!I21)),MAX(0,Clean_Data!J21-Clean_Data!I21),IF(AND(B21=FALSE(),ISNUMBER(Clean_Data!I21),Clean_Data!I21&lt;TODAY(),Clean_Data!K21&lt;&gt;"Cancelled"),MAX(0,TODAY()-Clean_Data!I21),""))</f>
        <v>441</v>
      </c>
      <c r="G21" s="5" t="str">
        <f>IF(AND(B21=TRUE(),ISNUMBER(Clean_Data!J21),ISNUMBER(Clean_Data!H21)),Clean_Data!J21-Clean_Data!H21,"")</f>
        <v/>
      </c>
      <c r="H21" s="5">
        <f ca="1">IF(AND(ISNUMBER(Clean_Data!J21),ISNUMBER(Clean_Data!H21)),Clean_Data!J21-Clean_Data!H21,IF(ISNUMBER(Clean_Data!H21),TODAY()-Clean_Data!H21,""))</f>
        <v>487</v>
      </c>
      <c r="I21" s="5" t="str">
        <f>IF(ISNUMBER(Clean_Data!I21),TEXT(Clean_Data!I21,"YYYY-MM"),"")</f>
        <v>2025-01</v>
      </c>
      <c r="J21" s="5" t="str">
        <f>IF(ISNUMBER(Clean_Data!H21),TEXT(Clean_Data!H21,"YYYY-MM"),"")</f>
        <v>2024-12</v>
      </c>
      <c r="K21" s="5" t="str">
        <f>IF(ISNUMBER(Clean_Data!J21),TEXT(Clean_Data!J21,"YYYY-MM"),"")</f>
        <v/>
      </c>
      <c r="L21" s="5">
        <f>IF(ISNUMBER(Clean_Data!H21),YEAR(Clean_Data!H21),"")</f>
        <v>2024</v>
      </c>
      <c r="M21" s="5">
        <f>IF(ISNUMBER(Clean_Data!H21),MONTH(Clean_Data!H21),"")</f>
        <v>12</v>
      </c>
      <c r="N21" s="5" t="str">
        <f>IF(ISNUMBER(Clean_Data!H21),TEXT(Clean_Data!H21,"MMMM"),"")</f>
        <v>December</v>
      </c>
      <c r="O21" s="20" t="b">
        <f t="shared" ca="1" si="0"/>
        <v>1</v>
      </c>
      <c r="P21" s="20" t="b">
        <f>AND(OR(Clean_Data!F21="High",Clean_Data!F21="Critical"),C21=TRUE())</f>
        <v>0</v>
      </c>
      <c r="Q21" s="20" t="b">
        <f ca="1">AND(OR(Clean_Data!F21="High",Clean_Data!F21="Critical"),D21=TRUE())</f>
        <v>0</v>
      </c>
      <c r="R21" s="20" t="b">
        <f ca="1">AND(Clean_Data!K21="In Progress",ISNUMBER(Clean_Data!H21),TODAY()-Clean_Data!H21&gt;30)</f>
        <v>0</v>
      </c>
      <c r="S21" s="5" t="str">
        <f>IF(B21=TRUE(),IF(AND(ISNUMBER(Clean_Data!N21),ISNUMBER(Clean_Data!M21),Clean_Data!M21&gt;0),IF(Clean_Data!N21&lt;=Clean_Data!M21*1.2,"Healthy","Over Budget"),"N/A"),IF(AND(Clean_Data!K21="In Progress",ISNUMBER(Clean_Data!L21)),IF(Clean_Data!L21&gt;=0.5,"On Track","Slow"),"N/A"))</f>
        <v>N/A</v>
      </c>
      <c r="T21" s="5" t="str">
        <f>IF(AND(B21=TRUE(),ISNUMBER(Clean_Data!J21),ISNUMBER(Clean_Data!I21)),Clean_Data!J21&lt;=Clean_Data!I21,"")</f>
        <v/>
      </c>
      <c r="U21" s="20" t="b">
        <f>IF(NOT(ISNUMBER(Clean_Data!L21)),FALSE(),AND(Clean_Data!L21&gt;=0,Clean_Data!L21&lt;=1))</f>
        <v>0</v>
      </c>
    </row>
    <row r="22" spans="1:21" x14ac:dyDescent="0.3">
      <c r="A22" s="2" t="str">
        <f>Clean_Data!A22</f>
        <v>TSK-0021</v>
      </c>
      <c r="B22" s="19" t="b">
        <f>Clean_Data!K22="Completed"</f>
        <v>1</v>
      </c>
      <c r="C22" s="19" t="b">
        <f>OR(Clean_Data!K22="Not Started",Clean_Data!K22="In Progress",Clean_Data!K22="On Hold")</f>
        <v>0</v>
      </c>
      <c r="D22" s="19" t="b">
        <f ca="1">AND(ISNUMBER(Clean_Data!I22),Clean_Data!I22&lt;TODAY(),Clean_Data!K22&lt;&gt;"Completed",Clean_Data!K22&lt;&gt;"Cancelled")</f>
        <v>0</v>
      </c>
      <c r="E22" s="2" t="str">
        <f ca="1">IF(AND(ISNUMBER(Clean_Data!H22),Clean_Data!K22&lt;&gt;"Completed",Clean_Data!K22&lt;&gt;"Cancelled"),TODAY()-Clean_Data!H22,"")</f>
        <v/>
      </c>
      <c r="F22" s="2">
        <f ca="1">IF(AND(B22=TRUE(),ISNUMBER(Clean_Data!J22),ISNUMBER(Clean_Data!I22)),MAX(0,Clean_Data!J22-Clean_Data!I22),IF(AND(B22=FALSE(),ISNUMBER(Clean_Data!I22),Clean_Data!I22&lt;TODAY(),Clean_Data!K22&lt;&gt;"Cancelled"),MAX(0,TODAY()-Clean_Data!I22),""))</f>
        <v>0</v>
      </c>
      <c r="G22" s="2">
        <f>IF(AND(B22=TRUE(),ISNUMBER(Clean_Data!J22),ISNUMBER(Clean_Data!H22)),Clean_Data!J22-Clean_Data!H22,"")</f>
        <v>24</v>
      </c>
      <c r="H22" s="2">
        <f ca="1">IF(AND(ISNUMBER(Clean_Data!J22),ISNUMBER(Clean_Data!H22)),Clean_Data!J22-Clean_Data!H22,IF(ISNUMBER(Clean_Data!H22),TODAY()-Clean_Data!H22,""))</f>
        <v>24</v>
      </c>
      <c r="I22" s="2" t="str">
        <f>IF(ISNUMBER(Clean_Data!I22),TEXT(Clean_Data!I22,"YYYY-MM"),"")</f>
        <v>2024-04</v>
      </c>
      <c r="J22" s="2" t="str">
        <f>IF(ISNUMBER(Clean_Data!H22),TEXT(Clean_Data!H22,"YYYY-MM"),"")</f>
        <v>2024-03</v>
      </c>
      <c r="K22" s="2" t="str">
        <f>IF(ISNUMBER(Clean_Data!J22),TEXT(Clean_Data!J22,"YYYY-MM"),"")</f>
        <v>2024-04</v>
      </c>
      <c r="L22" s="2">
        <f>IF(ISNUMBER(Clean_Data!H22),YEAR(Clean_Data!H22),"")</f>
        <v>2024</v>
      </c>
      <c r="M22" s="2">
        <f>IF(ISNUMBER(Clean_Data!H22),MONTH(Clean_Data!H22),"")</f>
        <v>3</v>
      </c>
      <c r="N22" s="2" t="str">
        <f>IF(ISNUMBER(Clean_Data!H22),TEXT(Clean_Data!H22,"MMMM"),"")</f>
        <v>March</v>
      </c>
      <c r="O22" s="19" t="b">
        <f t="shared" ca="1" si="0"/>
        <v>0</v>
      </c>
      <c r="P22" s="19" t="b">
        <f>AND(OR(Clean_Data!F22="High",Clean_Data!F22="Critical"),C22=TRUE())</f>
        <v>0</v>
      </c>
      <c r="Q22" s="19" t="b">
        <f ca="1">AND(OR(Clean_Data!F22="High",Clean_Data!F22="Critical"),D22=TRUE())</f>
        <v>0</v>
      </c>
      <c r="R22" s="19" t="b">
        <f ca="1">AND(Clean_Data!K22="In Progress",ISNUMBER(Clean_Data!H22),TODAY()-Clean_Data!H22&gt;30)</f>
        <v>0</v>
      </c>
      <c r="S22" s="2" t="str">
        <f>IF(B22=TRUE(),IF(AND(ISNUMBER(Clean_Data!N22),ISNUMBER(Clean_Data!M22),Clean_Data!M22&gt;0),IF(Clean_Data!N22&lt;=Clean_Data!M22*1.2,"Healthy","Over Budget"),"N/A"),IF(AND(Clean_Data!K22="In Progress",ISNUMBER(Clean_Data!L22)),IF(Clean_Data!L22&gt;=0.5,"On Track","Slow"),"N/A"))</f>
        <v>Healthy</v>
      </c>
      <c r="T22" s="19" t="b">
        <f>IF(AND(B22=TRUE(),ISNUMBER(Clean_Data!J22),ISNUMBER(Clean_Data!I22)),Clean_Data!J22&lt;=Clean_Data!I22,"")</f>
        <v>1</v>
      </c>
      <c r="U22" s="19" t="b">
        <f>IF(NOT(ISNUMBER(Clean_Data!L22)),FALSE(),AND(Clean_Data!L22&gt;=0,Clean_Data!L22&lt;=1))</f>
        <v>1</v>
      </c>
    </row>
    <row r="23" spans="1:21" x14ac:dyDescent="0.3">
      <c r="A23" s="5" t="str">
        <f>Clean_Data!A23</f>
        <v>TSK-0022</v>
      </c>
      <c r="B23" s="20" t="b">
        <f>Clean_Data!K23="Completed"</f>
        <v>1</v>
      </c>
      <c r="C23" s="20" t="b">
        <f>OR(Clean_Data!K23="Not Started",Clean_Data!K23="In Progress",Clean_Data!K23="On Hold")</f>
        <v>0</v>
      </c>
      <c r="D23" s="20" t="b">
        <f ca="1">AND(ISNUMBER(Clean_Data!I23),Clean_Data!I23&lt;TODAY(),Clean_Data!K23&lt;&gt;"Completed",Clean_Data!K23&lt;&gt;"Cancelled")</f>
        <v>0</v>
      </c>
      <c r="E23" s="5" t="str">
        <f ca="1">IF(AND(ISNUMBER(Clean_Data!H23),Clean_Data!K23&lt;&gt;"Completed",Clean_Data!K23&lt;&gt;"Cancelled"),TODAY()-Clean_Data!H23,"")</f>
        <v/>
      </c>
      <c r="F23" s="5">
        <f ca="1">IF(AND(B23=TRUE(),ISNUMBER(Clean_Data!J23),ISNUMBER(Clean_Data!I23)),MAX(0,Clean_Data!J23-Clean_Data!I23),IF(AND(B23=FALSE(),ISNUMBER(Clean_Data!I23),Clean_Data!I23&lt;TODAY(),Clean_Data!K23&lt;&gt;"Cancelled"),MAX(0,TODAY()-Clean_Data!I23),""))</f>
        <v>0</v>
      </c>
      <c r="G23" s="5">
        <f>IF(AND(B23=TRUE(),ISNUMBER(Clean_Data!J23),ISNUMBER(Clean_Data!H23)),Clean_Data!J23-Clean_Data!H23,"")</f>
        <v>14</v>
      </c>
      <c r="H23" s="5">
        <f ca="1">IF(AND(ISNUMBER(Clean_Data!J23),ISNUMBER(Clean_Data!H23)),Clean_Data!J23-Clean_Data!H23,IF(ISNUMBER(Clean_Data!H23),TODAY()-Clean_Data!H23,""))</f>
        <v>14</v>
      </c>
      <c r="I23" s="5" t="str">
        <f>IF(ISNUMBER(Clean_Data!I23),TEXT(Clean_Data!I23,"YYYY-MM"),"")</f>
        <v>2024-04</v>
      </c>
      <c r="J23" s="5" t="str">
        <f>IF(ISNUMBER(Clean_Data!H23),TEXT(Clean_Data!H23,"YYYY-MM"),"")</f>
        <v>2024-03</v>
      </c>
      <c r="K23" s="5" t="str">
        <f>IF(ISNUMBER(Clean_Data!J23),TEXT(Clean_Data!J23,"YYYY-MM"),"")</f>
        <v>2024-03</v>
      </c>
      <c r="L23" s="5">
        <f>IF(ISNUMBER(Clean_Data!H23),YEAR(Clean_Data!H23),"")</f>
        <v>2024</v>
      </c>
      <c r="M23" s="5">
        <f>IF(ISNUMBER(Clean_Data!H23),MONTH(Clean_Data!H23),"")</f>
        <v>3</v>
      </c>
      <c r="N23" s="5" t="str">
        <f>IF(ISNUMBER(Clean_Data!H23),TEXT(Clean_Data!H23,"MMMM"),"")</f>
        <v>March</v>
      </c>
      <c r="O23" s="20" t="b">
        <f t="shared" ca="1" si="0"/>
        <v>0</v>
      </c>
      <c r="P23" s="20" t="b">
        <f>AND(OR(Clean_Data!F23="High",Clean_Data!F23="Critical"),C23=TRUE())</f>
        <v>0</v>
      </c>
      <c r="Q23" s="20" t="b">
        <f ca="1">AND(OR(Clean_Data!F23="High",Clean_Data!F23="Critical"),D23=TRUE())</f>
        <v>0</v>
      </c>
      <c r="R23" s="20" t="b">
        <f ca="1">AND(Clean_Data!K23="In Progress",ISNUMBER(Clean_Data!H23),TODAY()-Clean_Data!H23&gt;30)</f>
        <v>0</v>
      </c>
      <c r="S23" s="5" t="str">
        <f>IF(B23=TRUE(),IF(AND(ISNUMBER(Clean_Data!N23),ISNUMBER(Clean_Data!M23),Clean_Data!M23&gt;0),IF(Clean_Data!N23&lt;=Clean_Data!M23*1.2,"Healthy","Over Budget"),"N/A"),IF(AND(Clean_Data!K23="In Progress",ISNUMBER(Clean_Data!L23)),IF(Clean_Data!L23&gt;=0.5,"On Track","Slow"),"N/A"))</f>
        <v>Healthy</v>
      </c>
      <c r="T23" s="20" t="b">
        <f>IF(AND(B23=TRUE(),ISNUMBER(Clean_Data!J23),ISNUMBER(Clean_Data!I23)),Clean_Data!J23&lt;=Clean_Data!I23,"")</f>
        <v>1</v>
      </c>
      <c r="U23" s="20" t="b">
        <f>IF(NOT(ISNUMBER(Clean_Data!L23)),FALSE(),AND(Clean_Data!L23&gt;=0,Clean_Data!L23&lt;=1))</f>
        <v>1</v>
      </c>
    </row>
    <row r="24" spans="1:21" x14ac:dyDescent="0.3">
      <c r="A24" s="2" t="str">
        <f>Clean_Data!A24</f>
        <v>TSK-0023</v>
      </c>
      <c r="B24" s="19" t="b">
        <f>Clean_Data!K24="Completed"</f>
        <v>0</v>
      </c>
      <c r="C24" s="19" t="b">
        <f>OR(Clean_Data!K24="Not Started",Clean_Data!K24="In Progress",Clean_Data!K24="On Hold")</f>
        <v>1</v>
      </c>
      <c r="D24" s="19" t="b">
        <f ca="1">AND(ISNUMBER(Clean_Data!I24),Clean_Data!I24&lt;TODAY(),Clean_Data!K24&lt;&gt;"Completed",Clean_Data!K24&lt;&gt;"Cancelled")</f>
        <v>1</v>
      </c>
      <c r="E24" s="2">
        <f ca="1">IF(AND(ISNUMBER(Clean_Data!H24),Clean_Data!K24&lt;&gt;"Completed",Clean_Data!K24&lt;&gt;"Cancelled"),TODAY()-Clean_Data!H24,"")</f>
        <v>783</v>
      </c>
      <c r="F24" s="2">
        <f ca="1">IF(AND(B24=TRUE(),ISNUMBER(Clean_Data!J24),ISNUMBER(Clean_Data!I24)),MAX(0,Clean_Data!J24-Clean_Data!I24),IF(AND(B24=FALSE(),ISNUMBER(Clean_Data!I24),Clean_Data!I24&lt;TODAY(),Clean_Data!K24&lt;&gt;"Cancelled"),MAX(0,TODAY()-Clean_Data!I24),""))</f>
        <v>738</v>
      </c>
      <c r="G24" s="2" t="str">
        <f>IF(AND(B24=TRUE(),ISNUMBER(Clean_Data!J24),ISNUMBER(Clean_Data!H24)),Clean_Data!J24-Clean_Data!H24,"")</f>
        <v/>
      </c>
      <c r="H24" s="2">
        <f ca="1">IF(AND(ISNUMBER(Clean_Data!J24),ISNUMBER(Clean_Data!H24)),Clean_Data!J24-Clean_Data!H24,IF(ISNUMBER(Clean_Data!H24),TODAY()-Clean_Data!H24,""))</f>
        <v>783</v>
      </c>
      <c r="I24" s="2" t="str">
        <f>IF(ISNUMBER(Clean_Data!I24),TEXT(Clean_Data!I24,"YYYY-MM"),"")</f>
        <v>2024-04</v>
      </c>
      <c r="J24" s="2" t="str">
        <f>IF(ISNUMBER(Clean_Data!H24),TEXT(Clean_Data!H24,"YYYY-MM"),"")</f>
        <v>2024-02</v>
      </c>
      <c r="K24" s="2" t="str">
        <f>IF(ISNUMBER(Clean_Data!J24),TEXT(Clean_Data!J24,"YYYY-MM"),"")</f>
        <v/>
      </c>
      <c r="L24" s="2">
        <f>IF(ISNUMBER(Clean_Data!H24),YEAR(Clean_Data!H24),"")</f>
        <v>2024</v>
      </c>
      <c r="M24" s="2">
        <f>IF(ISNUMBER(Clean_Data!H24),MONTH(Clean_Data!H24),"")</f>
        <v>2</v>
      </c>
      <c r="N24" s="2" t="str">
        <f>IF(ISNUMBER(Clean_Data!H24),TEXT(Clean_Data!H24,"MMMM"),"")</f>
        <v>February</v>
      </c>
      <c r="O24" s="19" t="b">
        <f t="shared" ca="1" si="0"/>
        <v>1</v>
      </c>
      <c r="P24" s="19" t="b">
        <f>AND(OR(Clean_Data!F24="High",Clean_Data!F24="Critical"),C24=TRUE())</f>
        <v>1</v>
      </c>
      <c r="Q24" s="19" t="b">
        <f ca="1">AND(OR(Clean_Data!F24="High",Clean_Data!F24="Critical"),D24=TRUE())</f>
        <v>1</v>
      </c>
      <c r="R24" s="19" t="b">
        <f ca="1">AND(Clean_Data!K24="In Progress",ISNUMBER(Clean_Data!H24),TODAY()-Clean_Data!H24&gt;30)</f>
        <v>0</v>
      </c>
      <c r="S24" s="2" t="str">
        <f>IF(B24=TRUE(),IF(AND(ISNUMBER(Clean_Data!N24),ISNUMBER(Clean_Data!M24),Clean_Data!M24&gt;0),IF(Clean_Data!N24&lt;=Clean_Data!M24*1.2,"Healthy","Over Budget"),"N/A"),IF(AND(Clean_Data!K24="In Progress",ISNUMBER(Clean_Data!L24)),IF(Clean_Data!L24&gt;=0.5,"On Track","Slow"),"N/A"))</f>
        <v>N/A</v>
      </c>
      <c r="T24" s="2" t="str">
        <f>IF(AND(B24=TRUE(),ISNUMBER(Clean_Data!J24),ISNUMBER(Clean_Data!I24)),Clean_Data!J24&lt;=Clean_Data!I24,"")</f>
        <v/>
      </c>
      <c r="U24" s="19" t="b">
        <f>IF(NOT(ISNUMBER(Clean_Data!L24)),FALSE(),AND(Clean_Data!L24&gt;=0,Clean_Data!L24&lt;=1))</f>
        <v>1</v>
      </c>
    </row>
    <row r="25" spans="1:21" x14ac:dyDescent="0.3">
      <c r="A25" s="5" t="str">
        <f>Clean_Data!A25</f>
        <v>TSK-0024</v>
      </c>
      <c r="B25" s="20" t="b">
        <f>Clean_Data!K25="Completed"</f>
        <v>0</v>
      </c>
      <c r="C25" s="20" t="b">
        <f>OR(Clean_Data!K25="Not Started",Clean_Data!K25="In Progress",Clean_Data!K25="On Hold")</f>
        <v>1</v>
      </c>
      <c r="D25" s="20" t="b">
        <f ca="1">AND(ISNUMBER(Clean_Data!I25),Clean_Data!I25&lt;TODAY(),Clean_Data!K25&lt;&gt;"Completed",Clean_Data!K25&lt;&gt;"Cancelled")</f>
        <v>1</v>
      </c>
      <c r="E25" s="5">
        <f ca="1">IF(AND(ISNUMBER(Clean_Data!H25),Clean_Data!K25&lt;&gt;"Completed",Clean_Data!K25&lt;&gt;"Cancelled"),TODAY()-Clean_Data!H25,"")</f>
        <v>773</v>
      </c>
      <c r="F25" s="5">
        <f ca="1">IF(AND(B25=TRUE(),ISNUMBER(Clean_Data!J25),ISNUMBER(Clean_Data!I25)),MAX(0,Clean_Data!J25-Clean_Data!I25),IF(AND(B25=FALSE(),ISNUMBER(Clean_Data!I25),Clean_Data!I25&lt;TODAY(),Clean_Data!K25&lt;&gt;"Cancelled"),MAX(0,TODAY()-Clean_Data!I25),""))</f>
        <v>764</v>
      </c>
      <c r="G25" s="5" t="str">
        <f>IF(AND(B25=TRUE(),ISNUMBER(Clean_Data!J25),ISNUMBER(Clean_Data!H25)),Clean_Data!J25-Clean_Data!H25,"")</f>
        <v/>
      </c>
      <c r="H25" s="5">
        <f ca="1">IF(AND(ISNUMBER(Clean_Data!J25),ISNUMBER(Clean_Data!H25)),Clean_Data!J25-Clean_Data!H25,IF(ISNUMBER(Clean_Data!H25),TODAY()-Clean_Data!H25,""))</f>
        <v>773</v>
      </c>
      <c r="I25" s="5" t="str">
        <f>IF(ISNUMBER(Clean_Data!I25),TEXT(Clean_Data!I25,"YYYY-MM"),"")</f>
        <v>2024-03</v>
      </c>
      <c r="J25" s="5" t="str">
        <f>IF(ISNUMBER(Clean_Data!H25),TEXT(Clean_Data!H25,"YYYY-MM"),"")</f>
        <v>2024-03</v>
      </c>
      <c r="K25" s="5" t="str">
        <f>IF(ISNUMBER(Clean_Data!J25),TEXT(Clean_Data!J25,"YYYY-MM"),"")</f>
        <v/>
      </c>
      <c r="L25" s="5">
        <f>IF(ISNUMBER(Clean_Data!H25),YEAR(Clean_Data!H25),"")</f>
        <v>2024</v>
      </c>
      <c r="M25" s="5">
        <f>IF(ISNUMBER(Clean_Data!H25),MONTH(Clean_Data!H25),"")</f>
        <v>3</v>
      </c>
      <c r="N25" s="5" t="str">
        <f>IF(ISNUMBER(Clean_Data!H25),TEXT(Clean_Data!H25,"MMMM"),"")</f>
        <v>March</v>
      </c>
      <c r="O25" s="20" t="b">
        <f t="shared" ca="1" si="0"/>
        <v>1</v>
      </c>
      <c r="P25" s="20" t="b">
        <f>AND(OR(Clean_Data!F25="High",Clean_Data!F25="Critical"),C25=TRUE())</f>
        <v>0</v>
      </c>
      <c r="Q25" s="20" t="b">
        <f ca="1">AND(OR(Clean_Data!F25="High",Clean_Data!F25="Critical"),D25=TRUE())</f>
        <v>0</v>
      </c>
      <c r="R25" s="20" t="b">
        <f ca="1">AND(Clean_Data!K25="In Progress",ISNUMBER(Clean_Data!H25),TODAY()-Clean_Data!H25&gt;30)</f>
        <v>1</v>
      </c>
      <c r="S25" s="5" t="str">
        <f>IF(B25=TRUE(),IF(AND(ISNUMBER(Clean_Data!N25),ISNUMBER(Clean_Data!M25),Clean_Data!M25&gt;0),IF(Clean_Data!N25&lt;=Clean_Data!M25*1.2,"Healthy","Over Budget"),"N/A"),IF(AND(Clean_Data!K25="In Progress",ISNUMBER(Clean_Data!L25)),IF(Clean_Data!L25&gt;=0.5,"On Track","Slow"),"N/A"))</f>
        <v>Slow</v>
      </c>
      <c r="T25" s="5" t="str">
        <f>IF(AND(B25=TRUE(),ISNUMBER(Clean_Data!J25),ISNUMBER(Clean_Data!I25)),Clean_Data!J25&lt;=Clean_Data!I25,"")</f>
        <v/>
      </c>
      <c r="U25" s="20" t="b">
        <f>IF(NOT(ISNUMBER(Clean_Data!L25)),FALSE(),AND(Clean_Data!L25&gt;=0,Clean_Data!L25&lt;=1))</f>
        <v>1</v>
      </c>
    </row>
    <row r="26" spans="1:21" x14ac:dyDescent="0.3">
      <c r="A26" s="2" t="str">
        <f>Clean_Data!A26</f>
        <v>TSK-0025</v>
      </c>
      <c r="B26" s="19" t="b">
        <f>Clean_Data!K26="Completed"</f>
        <v>0</v>
      </c>
      <c r="C26" s="19" t="b">
        <f>OR(Clean_Data!K26="Not Started",Clean_Data!K26="In Progress",Clean_Data!K26="On Hold")</f>
        <v>1</v>
      </c>
      <c r="D26" s="19" t="b">
        <f ca="1">AND(ISNUMBER(Clean_Data!I26),Clean_Data!I26&lt;TODAY(),Clean_Data!K26&lt;&gt;"Completed",Clean_Data!K26&lt;&gt;"Cancelled")</f>
        <v>1</v>
      </c>
      <c r="E26" s="2">
        <f ca="1">IF(AND(ISNUMBER(Clean_Data!H26),Clean_Data!K26&lt;&gt;"Completed",Clean_Data!K26&lt;&gt;"Cancelled"),TODAY()-Clean_Data!H26,"")</f>
        <v>649</v>
      </c>
      <c r="F26" s="2">
        <f ca="1">IF(AND(B26=TRUE(),ISNUMBER(Clean_Data!J26),ISNUMBER(Clean_Data!I26)),MAX(0,Clean_Data!J26-Clean_Data!I26),IF(AND(B26=FALSE(),ISNUMBER(Clean_Data!I26),Clean_Data!I26&lt;TODAY(),Clean_Data!K26&lt;&gt;"Cancelled"),MAX(0,TODAY()-Clean_Data!I26),""))</f>
        <v>595</v>
      </c>
      <c r="G26" s="2" t="str">
        <f>IF(AND(B26=TRUE(),ISNUMBER(Clean_Data!J26),ISNUMBER(Clean_Data!H26)),Clean_Data!J26-Clean_Data!H26,"")</f>
        <v/>
      </c>
      <c r="H26" s="2">
        <f ca="1">IF(AND(ISNUMBER(Clean_Data!J26),ISNUMBER(Clean_Data!H26)),Clean_Data!J26-Clean_Data!H26,IF(ISNUMBER(Clean_Data!H26),TODAY()-Clean_Data!H26,""))</f>
        <v>649</v>
      </c>
      <c r="I26" s="2" t="str">
        <f>IF(ISNUMBER(Clean_Data!I26),TEXT(Clean_Data!I26,"YYYY-MM"),"")</f>
        <v>2024-08</v>
      </c>
      <c r="J26" s="2" t="str">
        <f>IF(ISNUMBER(Clean_Data!H26),TEXT(Clean_Data!H26,"YYYY-MM"),"")</f>
        <v>2024-07</v>
      </c>
      <c r="K26" s="2" t="str">
        <f>IF(ISNUMBER(Clean_Data!J26),TEXT(Clean_Data!J26,"YYYY-MM"),"")</f>
        <v/>
      </c>
      <c r="L26" s="2">
        <f>IF(ISNUMBER(Clean_Data!H26),YEAR(Clean_Data!H26),"")</f>
        <v>2024</v>
      </c>
      <c r="M26" s="2">
        <f>IF(ISNUMBER(Clean_Data!H26),MONTH(Clean_Data!H26),"")</f>
        <v>7</v>
      </c>
      <c r="N26" s="2" t="str">
        <f>IF(ISNUMBER(Clean_Data!H26),TEXT(Clean_Data!H26,"MMMM"),"")</f>
        <v>July</v>
      </c>
      <c r="O26" s="19" t="b">
        <f t="shared" ca="1" si="0"/>
        <v>1</v>
      </c>
      <c r="P26" s="19" t="b">
        <f>AND(OR(Clean_Data!F26="High",Clean_Data!F26="Critical"),C26=TRUE())</f>
        <v>0</v>
      </c>
      <c r="Q26" s="19" t="b">
        <f ca="1">AND(OR(Clean_Data!F26="High",Clean_Data!F26="Critical"),D26=TRUE())</f>
        <v>0</v>
      </c>
      <c r="R26" s="19" t="b">
        <f ca="1">AND(Clean_Data!K26="In Progress",ISNUMBER(Clean_Data!H26),TODAY()-Clean_Data!H26&gt;30)</f>
        <v>0</v>
      </c>
      <c r="S26" s="2" t="str">
        <f>IF(B26=TRUE(),IF(AND(ISNUMBER(Clean_Data!N26),ISNUMBER(Clean_Data!M26),Clean_Data!M26&gt;0),IF(Clean_Data!N26&lt;=Clean_Data!M26*1.2,"Healthy","Over Budget"),"N/A"),IF(AND(Clean_Data!K26="In Progress",ISNUMBER(Clean_Data!L26)),IF(Clean_Data!L26&gt;=0.5,"On Track","Slow"),"N/A"))</f>
        <v>N/A</v>
      </c>
      <c r="T26" s="2" t="str">
        <f>IF(AND(B26=TRUE(),ISNUMBER(Clean_Data!J26),ISNUMBER(Clean_Data!I26)),Clean_Data!J26&lt;=Clean_Data!I26,"")</f>
        <v/>
      </c>
      <c r="U26" s="19" t="b">
        <f>IF(NOT(ISNUMBER(Clean_Data!L26)),FALSE(),AND(Clean_Data!L26&gt;=0,Clean_Data!L26&lt;=1))</f>
        <v>1</v>
      </c>
    </row>
    <row r="27" spans="1:21" x14ac:dyDescent="0.3">
      <c r="A27" s="5" t="str">
        <f>Clean_Data!A27</f>
        <v>TSK-0026</v>
      </c>
      <c r="B27" s="20" t="b">
        <f>Clean_Data!K27="Completed"</f>
        <v>1</v>
      </c>
      <c r="C27" s="20" t="b">
        <f>OR(Clean_Data!K27="Not Started",Clean_Data!K27="In Progress",Clean_Data!K27="On Hold")</f>
        <v>0</v>
      </c>
      <c r="D27" s="20" t="b">
        <f ca="1">AND(ISNUMBER(Clean_Data!I27),Clean_Data!I27&lt;TODAY(),Clean_Data!K27&lt;&gt;"Completed",Clean_Data!K27&lt;&gt;"Cancelled")</f>
        <v>0</v>
      </c>
      <c r="E27" s="5" t="str">
        <f ca="1">IF(AND(ISNUMBER(Clean_Data!H27),Clean_Data!K27&lt;&gt;"Completed",Clean_Data!K27&lt;&gt;"Cancelled"),TODAY()-Clean_Data!H27,"")</f>
        <v/>
      </c>
      <c r="F27" s="5">
        <f ca="1">IF(AND(B27=TRUE(),ISNUMBER(Clean_Data!J27),ISNUMBER(Clean_Data!I27)),MAX(0,Clean_Data!J27-Clean_Data!I27),IF(AND(B27=FALSE(),ISNUMBER(Clean_Data!I27),Clean_Data!I27&lt;TODAY(),Clean_Data!K27&lt;&gt;"Cancelled"),MAX(0,TODAY()-Clean_Data!I27),""))</f>
        <v>2</v>
      </c>
      <c r="G27" s="5">
        <f>IF(AND(B27=TRUE(),ISNUMBER(Clean_Data!J27),ISNUMBER(Clean_Data!H27)),Clean_Data!J27-Clean_Data!H27,"")</f>
        <v>17</v>
      </c>
      <c r="H27" s="5">
        <f ca="1">IF(AND(ISNUMBER(Clean_Data!J27),ISNUMBER(Clean_Data!H27)),Clean_Data!J27-Clean_Data!H27,IF(ISNUMBER(Clean_Data!H27),TODAY()-Clean_Data!H27,""))</f>
        <v>17</v>
      </c>
      <c r="I27" s="5" t="str">
        <f>IF(ISNUMBER(Clean_Data!I27),TEXT(Clean_Data!I27,"YYYY-MM"),"")</f>
        <v>2024-06</v>
      </c>
      <c r="J27" s="5" t="str">
        <f>IF(ISNUMBER(Clean_Data!H27),TEXT(Clean_Data!H27,"YYYY-MM"),"")</f>
        <v>2024-05</v>
      </c>
      <c r="K27" s="5" t="str">
        <f>IF(ISNUMBER(Clean_Data!J27),TEXT(Clean_Data!J27,"YYYY-MM"),"")</f>
        <v>2024-06</v>
      </c>
      <c r="L27" s="5">
        <f>IF(ISNUMBER(Clean_Data!H27),YEAR(Clean_Data!H27),"")</f>
        <v>2024</v>
      </c>
      <c r="M27" s="5">
        <f>IF(ISNUMBER(Clean_Data!H27),MONTH(Clean_Data!H27),"")</f>
        <v>5</v>
      </c>
      <c r="N27" s="5" t="str">
        <f>IF(ISNUMBER(Clean_Data!H27),TEXT(Clean_Data!H27,"MMMM"),"")</f>
        <v>May</v>
      </c>
      <c r="O27" s="20" t="b">
        <f t="shared" ca="1" si="0"/>
        <v>0</v>
      </c>
      <c r="P27" s="20" t="b">
        <f>AND(OR(Clean_Data!F27="High",Clean_Data!F27="Critical"),C27=TRUE())</f>
        <v>0</v>
      </c>
      <c r="Q27" s="20" t="b">
        <f ca="1">AND(OR(Clean_Data!F27="High",Clean_Data!F27="Critical"),D27=TRUE())</f>
        <v>0</v>
      </c>
      <c r="R27" s="20" t="b">
        <f ca="1">AND(Clean_Data!K27="In Progress",ISNUMBER(Clean_Data!H27),TODAY()-Clean_Data!H27&gt;30)</f>
        <v>0</v>
      </c>
      <c r="S27" s="5" t="str">
        <f>IF(B27=TRUE(),IF(AND(ISNUMBER(Clean_Data!N27),ISNUMBER(Clean_Data!M27),Clean_Data!M27&gt;0),IF(Clean_Data!N27&lt;=Clean_Data!M27*1.2,"Healthy","Over Budget"),"N/A"),IF(AND(Clean_Data!K27="In Progress",ISNUMBER(Clean_Data!L27)),IF(Clean_Data!L27&gt;=0.5,"On Track","Slow"),"N/A"))</f>
        <v>Healthy</v>
      </c>
      <c r="T27" s="20" t="b">
        <f>IF(AND(B27=TRUE(),ISNUMBER(Clean_Data!J27),ISNUMBER(Clean_Data!I27)),Clean_Data!J27&lt;=Clean_Data!I27,"")</f>
        <v>0</v>
      </c>
      <c r="U27" s="20" t="b">
        <f>IF(NOT(ISNUMBER(Clean_Data!L27)),FALSE(),AND(Clean_Data!L27&gt;=0,Clean_Data!L27&lt;=1))</f>
        <v>1</v>
      </c>
    </row>
    <row r="28" spans="1:21" x14ac:dyDescent="0.3">
      <c r="A28" s="2" t="str">
        <f>Clean_Data!A28</f>
        <v>TSK-0027</v>
      </c>
      <c r="B28" s="19" t="b">
        <f>Clean_Data!K28="Completed"</f>
        <v>1</v>
      </c>
      <c r="C28" s="19" t="b">
        <f>OR(Clean_Data!K28="Not Started",Clean_Data!K28="In Progress",Clean_Data!K28="On Hold")</f>
        <v>0</v>
      </c>
      <c r="D28" s="19" t="b">
        <f ca="1">AND(ISNUMBER(Clean_Data!I28),Clean_Data!I28&lt;TODAY(),Clean_Data!K28&lt;&gt;"Completed",Clean_Data!K28&lt;&gt;"Cancelled")</f>
        <v>0</v>
      </c>
      <c r="E28" s="2" t="str">
        <f ca="1">IF(AND(ISNUMBER(Clean_Data!H28),Clean_Data!K28&lt;&gt;"Completed",Clean_Data!K28&lt;&gt;"Cancelled"),TODAY()-Clean_Data!H28,"")</f>
        <v/>
      </c>
      <c r="F28" s="2">
        <f ca="1">IF(AND(B28=TRUE(),ISNUMBER(Clean_Data!J28),ISNUMBER(Clean_Data!I28)),MAX(0,Clean_Data!J28-Clean_Data!I28),IF(AND(B28=FALSE(),ISNUMBER(Clean_Data!I28),Clean_Data!I28&lt;TODAY(),Clean_Data!K28&lt;&gt;"Cancelled"),MAX(0,TODAY()-Clean_Data!I28),""))</f>
        <v>14</v>
      </c>
      <c r="G28" s="2">
        <f>IF(AND(B28=TRUE(),ISNUMBER(Clean_Data!J28),ISNUMBER(Clean_Data!H28)),Clean_Data!J28-Clean_Data!H28,"")</f>
        <v>74</v>
      </c>
      <c r="H28" s="2">
        <f ca="1">IF(AND(ISNUMBER(Clean_Data!J28),ISNUMBER(Clean_Data!H28)),Clean_Data!J28-Clean_Data!H28,IF(ISNUMBER(Clean_Data!H28),TODAY()-Clean_Data!H28,""))</f>
        <v>74</v>
      </c>
      <c r="I28" s="2" t="str">
        <f>IF(ISNUMBER(Clean_Data!I28),TEXT(Clean_Data!I28,"YYYY-MM"),"")</f>
        <v>2024-07</v>
      </c>
      <c r="J28" s="2" t="str">
        <f>IF(ISNUMBER(Clean_Data!H28),TEXT(Clean_Data!H28,"YYYY-MM"),"")</f>
        <v>2024-05</v>
      </c>
      <c r="K28" s="2" t="str">
        <f>IF(ISNUMBER(Clean_Data!J28),TEXT(Clean_Data!J28,"YYYY-MM"),"")</f>
        <v>2024-08</v>
      </c>
      <c r="L28" s="2">
        <f>IF(ISNUMBER(Clean_Data!H28),YEAR(Clean_Data!H28),"")</f>
        <v>2024</v>
      </c>
      <c r="M28" s="2">
        <f>IF(ISNUMBER(Clean_Data!H28),MONTH(Clean_Data!H28),"")</f>
        <v>5</v>
      </c>
      <c r="N28" s="2" t="str">
        <f>IF(ISNUMBER(Clean_Data!H28),TEXT(Clean_Data!H28,"MMMM"),"")</f>
        <v>May</v>
      </c>
      <c r="O28" s="19" t="b">
        <f t="shared" ca="1" si="0"/>
        <v>0</v>
      </c>
      <c r="P28" s="19" t="b">
        <f>AND(OR(Clean_Data!F28="High",Clean_Data!F28="Critical"),C28=TRUE())</f>
        <v>0</v>
      </c>
      <c r="Q28" s="19" t="b">
        <f ca="1">AND(OR(Clean_Data!F28="High",Clean_Data!F28="Critical"),D28=TRUE())</f>
        <v>0</v>
      </c>
      <c r="R28" s="19" t="b">
        <f ca="1">AND(Clean_Data!K28="In Progress",ISNUMBER(Clean_Data!H28),TODAY()-Clean_Data!H28&gt;30)</f>
        <v>0</v>
      </c>
      <c r="S28" s="2" t="str">
        <f>IF(B28=TRUE(),IF(AND(ISNUMBER(Clean_Data!N28),ISNUMBER(Clean_Data!M28),Clean_Data!M28&gt;0),IF(Clean_Data!N28&lt;=Clean_Data!M28*1.2,"Healthy","Over Budget"),"N/A"),IF(AND(Clean_Data!K28="In Progress",ISNUMBER(Clean_Data!L28)),IF(Clean_Data!L28&gt;=0.5,"On Track","Slow"),"N/A"))</f>
        <v>Healthy</v>
      </c>
      <c r="T28" s="19" t="b">
        <f>IF(AND(B28=TRUE(),ISNUMBER(Clean_Data!J28),ISNUMBER(Clean_Data!I28)),Clean_Data!J28&lt;=Clean_Data!I28,"")</f>
        <v>0</v>
      </c>
      <c r="U28" s="19" t="b">
        <f>IF(NOT(ISNUMBER(Clean_Data!L28)),FALSE(),AND(Clean_Data!L28&gt;=0,Clean_Data!L28&lt;=1))</f>
        <v>1</v>
      </c>
    </row>
    <row r="29" spans="1:21" x14ac:dyDescent="0.3">
      <c r="A29" s="5" t="str">
        <f>Clean_Data!A29</f>
        <v>TSK-0028</v>
      </c>
      <c r="B29" s="20" t="b">
        <f>Clean_Data!K29="Completed"</f>
        <v>0</v>
      </c>
      <c r="C29" s="20" t="b">
        <f>OR(Clean_Data!K29="Not Started",Clean_Data!K29="In Progress",Clean_Data!K29="On Hold")</f>
        <v>1</v>
      </c>
      <c r="D29" s="20" t="b">
        <f ca="1">AND(ISNUMBER(Clean_Data!I29),Clean_Data!I29&lt;TODAY(),Clean_Data!K29&lt;&gt;"Completed",Clean_Data!K29&lt;&gt;"Cancelled")</f>
        <v>1</v>
      </c>
      <c r="E29" s="5">
        <f ca="1">IF(AND(ISNUMBER(Clean_Data!H29),Clean_Data!K29&lt;&gt;"Completed",Clean_Data!K29&lt;&gt;"Cancelled"),TODAY()-Clean_Data!H29,"")</f>
        <v>811</v>
      </c>
      <c r="F29" s="5">
        <f ca="1">IF(AND(B29=TRUE(),ISNUMBER(Clean_Data!J29),ISNUMBER(Clean_Data!I29)),MAX(0,Clean_Data!J29-Clean_Data!I29),IF(AND(B29=FALSE(),ISNUMBER(Clean_Data!I29),Clean_Data!I29&lt;TODAY(),Clean_Data!K29&lt;&gt;"Cancelled"),MAX(0,TODAY()-Clean_Data!I29),""))</f>
        <v>800</v>
      </c>
      <c r="G29" s="5" t="str">
        <f>IF(AND(B29=TRUE(),ISNUMBER(Clean_Data!J29),ISNUMBER(Clean_Data!H29)),Clean_Data!J29-Clean_Data!H29,"")</f>
        <v/>
      </c>
      <c r="H29" s="5">
        <f ca="1">IF(AND(ISNUMBER(Clean_Data!J29),ISNUMBER(Clean_Data!H29)),Clean_Data!J29-Clean_Data!H29,IF(ISNUMBER(Clean_Data!H29),TODAY()-Clean_Data!H29,""))</f>
        <v>811</v>
      </c>
      <c r="I29" s="5" t="str">
        <f>IF(ISNUMBER(Clean_Data!I29),TEXT(Clean_Data!I29,"YYYY-MM"),"")</f>
        <v>2024-02</v>
      </c>
      <c r="J29" s="5" t="str">
        <f>IF(ISNUMBER(Clean_Data!H29),TEXT(Clean_Data!H29,"YYYY-MM"),"")</f>
        <v>2024-01</v>
      </c>
      <c r="K29" s="5" t="str">
        <f>IF(ISNUMBER(Clean_Data!J29),TEXT(Clean_Data!J29,"YYYY-MM"),"")</f>
        <v/>
      </c>
      <c r="L29" s="5">
        <f>IF(ISNUMBER(Clean_Data!H29),YEAR(Clean_Data!H29),"")</f>
        <v>2024</v>
      </c>
      <c r="M29" s="5">
        <f>IF(ISNUMBER(Clean_Data!H29),MONTH(Clean_Data!H29),"")</f>
        <v>1</v>
      </c>
      <c r="N29" s="5" t="str">
        <f>IF(ISNUMBER(Clean_Data!H29),TEXT(Clean_Data!H29,"MMMM"),"")</f>
        <v>January</v>
      </c>
      <c r="O29" s="20" t="b">
        <f t="shared" ca="1" si="0"/>
        <v>1</v>
      </c>
      <c r="P29" s="20" t="b">
        <f>AND(OR(Clean_Data!F29="High",Clean_Data!F29="Critical"),C29=TRUE())</f>
        <v>1</v>
      </c>
      <c r="Q29" s="20" t="b">
        <f ca="1">AND(OR(Clean_Data!F29="High",Clean_Data!F29="Critical"),D29=TRUE())</f>
        <v>1</v>
      </c>
      <c r="R29" s="20" t="b">
        <f ca="1">AND(Clean_Data!K29="In Progress",ISNUMBER(Clean_Data!H29),TODAY()-Clean_Data!H29&gt;30)</f>
        <v>0</v>
      </c>
      <c r="S29" s="5" t="str">
        <f>IF(B29=TRUE(),IF(AND(ISNUMBER(Clean_Data!N29),ISNUMBER(Clean_Data!M29),Clean_Data!M29&gt;0),IF(Clean_Data!N29&lt;=Clean_Data!M29*1.2,"Healthy","Over Budget"),"N/A"),IF(AND(Clean_Data!K29="In Progress",ISNUMBER(Clean_Data!L29)),IF(Clean_Data!L29&gt;=0.5,"On Track","Slow"),"N/A"))</f>
        <v>N/A</v>
      </c>
      <c r="T29" s="5" t="str">
        <f>IF(AND(B29=TRUE(),ISNUMBER(Clean_Data!J29),ISNUMBER(Clean_Data!I29)),Clean_Data!J29&lt;=Clean_Data!I29,"")</f>
        <v/>
      </c>
      <c r="U29" s="20" t="b">
        <f>IF(NOT(ISNUMBER(Clean_Data!L29)),FALSE(),AND(Clean_Data!L29&gt;=0,Clean_Data!L29&lt;=1))</f>
        <v>0</v>
      </c>
    </row>
    <row r="30" spans="1:21" x14ac:dyDescent="0.3">
      <c r="A30" s="2" t="str">
        <f>Clean_Data!A30</f>
        <v>TSK-0029</v>
      </c>
      <c r="B30" s="19" t="b">
        <f>Clean_Data!K30="Completed"</f>
        <v>1</v>
      </c>
      <c r="C30" s="19" t="b">
        <f>OR(Clean_Data!K30="Not Started",Clean_Data!K30="In Progress",Clean_Data!K30="On Hold")</f>
        <v>0</v>
      </c>
      <c r="D30" s="19" t="b">
        <f ca="1">AND(ISNUMBER(Clean_Data!I30),Clean_Data!I30&lt;TODAY(),Clean_Data!K30&lt;&gt;"Completed",Clean_Data!K30&lt;&gt;"Cancelled")</f>
        <v>0</v>
      </c>
      <c r="E30" s="2" t="str">
        <f ca="1">IF(AND(ISNUMBER(Clean_Data!H30),Clean_Data!K30&lt;&gt;"Completed",Clean_Data!K30&lt;&gt;"Cancelled"),TODAY()-Clean_Data!H30,"")</f>
        <v/>
      </c>
      <c r="F30" s="2">
        <f ca="1">IF(AND(B30=TRUE(),ISNUMBER(Clean_Data!J30),ISNUMBER(Clean_Data!I30)),MAX(0,Clean_Data!J30-Clean_Data!I30),IF(AND(B30=FALSE(),ISNUMBER(Clean_Data!I30),Clean_Data!I30&lt;TODAY(),Clean_Data!K30&lt;&gt;"Cancelled"),MAX(0,TODAY()-Clean_Data!I30),""))</f>
        <v>6</v>
      </c>
      <c r="G30" s="2">
        <f>IF(AND(B30=TRUE(),ISNUMBER(Clean_Data!J30),ISNUMBER(Clean_Data!H30)),Clean_Data!J30-Clean_Data!H30,"")</f>
        <v>38</v>
      </c>
      <c r="H30" s="2">
        <f ca="1">IF(AND(ISNUMBER(Clean_Data!J30),ISNUMBER(Clean_Data!H30)),Clean_Data!J30-Clean_Data!H30,IF(ISNUMBER(Clean_Data!H30),TODAY()-Clean_Data!H30,""))</f>
        <v>38</v>
      </c>
      <c r="I30" s="2" t="str">
        <f>IF(ISNUMBER(Clean_Data!I30),TEXT(Clean_Data!I30,"YYYY-MM"),"")</f>
        <v>2025-02</v>
      </c>
      <c r="J30" s="2" t="str">
        <f>IF(ISNUMBER(Clean_Data!H30),TEXT(Clean_Data!H30,"YYYY-MM"),"")</f>
        <v>2025-01</v>
      </c>
      <c r="K30" s="2" t="str">
        <f>IF(ISNUMBER(Clean_Data!J30),TEXT(Clean_Data!J30,"YYYY-MM"),"")</f>
        <v>2025-02</v>
      </c>
      <c r="L30" s="2">
        <f>IF(ISNUMBER(Clean_Data!H30),YEAR(Clean_Data!H30),"")</f>
        <v>2025</v>
      </c>
      <c r="M30" s="2">
        <f>IF(ISNUMBER(Clean_Data!H30),MONTH(Clean_Data!H30),"")</f>
        <v>1</v>
      </c>
      <c r="N30" s="2" t="str">
        <f>IF(ISNUMBER(Clean_Data!H30),TEXT(Clean_Data!H30,"MMMM"),"")</f>
        <v>January</v>
      </c>
      <c r="O30" s="19" t="b">
        <f t="shared" ca="1" si="0"/>
        <v>0</v>
      </c>
      <c r="P30" s="19" t="b">
        <f>AND(OR(Clean_Data!F30="High",Clean_Data!F30="Critical"),C30=TRUE())</f>
        <v>0</v>
      </c>
      <c r="Q30" s="19" t="b">
        <f ca="1">AND(OR(Clean_Data!F30="High",Clean_Data!F30="Critical"),D30=TRUE())</f>
        <v>0</v>
      </c>
      <c r="R30" s="19" t="b">
        <f ca="1">AND(Clean_Data!K30="In Progress",ISNUMBER(Clean_Data!H30),TODAY()-Clean_Data!H30&gt;30)</f>
        <v>0</v>
      </c>
      <c r="S30" s="2" t="str">
        <f>IF(B30=TRUE(),IF(AND(ISNUMBER(Clean_Data!N30),ISNUMBER(Clean_Data!M30),Clean_Data!M30&gt;0),IF(Clean_Data!N30&lt;=Clean_Data!M30*1.2,"Healthy","Over Budget"),"N/A"),IF(AND(Clean_Data!K30="In Progress",ISNUMBER(Clean_Data!L30)),IF(Clean_Data!L30&gt;=0.5,"On Track","Slow"),"N/A"))</f>
        <v>Over Budget</v>
      </c>
      <c r="T30" s="19" t="b">
        <f>IF(AND(B30=TRUE(),ISNUMBER(Clean_Data!J30),ISNUMBER(Clean_Data!I30)),Clean_Data!J30&lt;=Clean_Data!I30,"")</f>
        <v>0</v>
      </c>
      <c r="U30" s="19" t="b">
        <f>IF(NOT(ISNUMBER(Clean_Data!L30)),FALSE(),AND(Clean_Data!L30&gt;=0,Clean_Data!L30&lt;=1))</f>
        <v>1</v>
      </c>
    </row>
    <row r="31" spans="1:21" x14ac:dyDescent="0.3">
      <c r="A31" s="5" t="str">
        <f>Clean_Data!A31</f>
        <v>TSK-0030</v>
      </c>
      <c r="B31" s="20" t="b">
        <f>Clean_Data!K31="Completed"</f>
        <v>1</v>
      </c>
      <c r="C31" s="20" t="b">
        <f>OR(Clean_Data!K31="Not Started",Clean_Data!K31="In Progress",Clean_Data!K31="On Hold")</f>
        <v>0</v>
      </c>
      <c r="D31" s="20" t="b">
        <f ca="1">AND(ISNUMBER(Clean_Data!I31),Clean_Data!I31&lt;TODAY(),Clean_Data!K31&lt;&gt;"Completed",Clean_Data!K31&lt;&gt;"Cancelled")</f>
        <v>0</v>
      </c>
      <c r="E31" s="5" t="str">
        <f ca="1">IF(AND(ISNUMBER(Clean_Data!H31),Clean_Data!K31&lt;&gt;"Completed",Clean_Data!K31&lt;&gt;"Cancelled"),TODAY()-Clean_Data!H31,"")</f>
        <v/>
      </c>
      <c r="F31" s="5">
        <f ca="1">IF(AND(B31=TRUE(),ISNUMBER(Clean_Data!J31),ISNUMBER(Clean_Data!I31)),MAX(0,Clean_Data!J31-Clean_Data!I31),IF(AND(B31=FALSE(),ISNUMBER(Clean_Data!I31),Clean_Data!I31&lt;TODAY(),Clean_Data!K31&lt;&gt;"Cancelled"),MAX(0,TODAY()-Clean_Data!I31),""))</f>
        <v>13</v>
      </c>
      <c r="G31" s="5">
        <f>IF(AND(B31=TRUE(),ISNUMBER(Clean_Data!J31),ISNUMBER(Clean_Data!H31)),Clean_Data!J31-Clean_Data!H31,"")</f>
        <v>72</v>
      </c>
      <c r="H31" s="5">
        <f ca="1">IF(AND(ISNUMBER(Clean_Data!J31),ISNUMBER(Clean_Data!H31)),Clean_Data!J31-Clean_Data!H31,IF(ISNUMBER(Clean_Data!H31),TODAY()-Clean_Data!H31,""))</f>
        <v>72</v>
      </c>
      <c r="I31" s="5" t="str">
        <f>IF(ISNUMBER(Clean_Data!I31),TEXT(Clean_Data!I31,"YYYY-MM"),"")</f>
        <v>2025-02</v>
      </c>
      <c r="J31" s="5" t="str">
        <f>IF(ISNUMBER(Clean_Data!H31),TEXT(Clean_Data!H31,"YYYY-MM"),"")</f>
        <v>2024-12</v>
      </c>
      <c r="K31" s="5" t="str">
        <f>IF(ISNUMBER(Clean_Data!J31),TEXT(Clean_Data!J31,"YYYY-MM"),"")</f>
        <v>2025-02</v>
      </c>
      <c r="L31" s="5">
        <f>IF(ISNUMBER(Clean_Data!H31),YEAR(Clean_Data!H31),"")</f>
        <v>2024</v>
      </c>
      <c r="M31" s="5">
        <f>IF(ISNUMBER(Clean_Data!H31),MONTH(Clean_Data!H31),"")</f>
        <v>12</v>
      </c>
      <c r="N31" s="5" t="str">
        <f>IF(ISNUMBER(Clean_Data!H31),TEXT(Clean_Data!H31,"MMMM"),"")</f>
        <v>December</v>
      </c>
      <c r="O31" s="20" t="b">
        <f t="shared" ca="1" si="0"/>
        <v>0</v>
      </c>
      <c r="P31" s="20" t="b">
        <f>AND(OR(Clean_Data!F31="High",Clean_Data!F31="Critical"),C31=TRUE())</f>
        <v>0</v>
      </c>
      <c r="Q31" s="20" t="b">
        <f ca="1">AND(OR(Clean_Data!F31="High",Clean_Data!F31="Critical"),D31=TRUE())</f>
        <v>0</v>
      </c>
      <c r="R31" s="20" t="b">
        <f ca="1">AND(Clean_Data!K31="In Progress",ISNUMBER(Clean_Data!H31),TODAY()-Clean_Data!H31&gt;30)</f>
        <v>0</v>
      </c>
      <c r="S31" s="5" t="str">
        <f>IF(B31=TRUE(),IF(AND(ISNUMBER(Clean_Data!N31),ISNUMBER(Clean_Data!M31),Clean_Data!M31&gt;0),IF(Clean_Data!N31&lt;=Clean_Data!M31*1.2,"Healthy","Over Budget"),"N/A"),IF(AND(Clean_Data!K31="In Progress",ISNUMBER(Clean_Data!L31)),IF(Clean_Data!L31&gt;=0.5,"On Track","Slow"),"N/A"))</f>
        <v>Over Budget</v>
      </c>
      <c r="T31" s="20" t="b">
        <f>IF(AND(B31=TRUE(),ISNUMBER(Clean_Data!J31),ISNUMBER(Clean_Data!I31)),Clean_Data!J31&lt;=Clean_Data!I31,"")</f>
        <v>0</v>
      </c>
      <c r="U31" s="20" t="b">
        <f>IF(NOT(ISNUMBER(Clean_Data!L31)),FALSE(),AND(Clean_Data!L31&gt;=0,Clean_Data!L31&lt;=1))</f>
        <v>1</v>
      </c>
    </row>
    <row r="32" spans="1:21" x14ac:dyDescent="0.3">
      <c r="A32" s="2" t="str">
        <f>Clean_Data!A32</f>
        <v>TSK-0031</v>
      </c>
      <c r="B32" s="19" t="b">
        <f>Clean_Data!K32="Completed"</f>
        <v>0</v>
      </c>
      <c r="C32" s="19" t="b">
        <f>OR(Clean_Data!K32="Not Started",Clean_Data!K32="In Progress",Clean_Data!K32="On Hold")</f>
        <v>1</v>
      </c>
      <c r="D32" s="19" t="b">
        <f ca="1">AND(ISNUMBER(Clean_Data!I32),Clean_Data!I32&lt;TODAY(),Clean_Data!K32&lt;&gt;"Completed",Clean_Data!K32&lt;&gt;"Cancelled")</f>
        <v>1</v>
      </c>
      <c r="E32" s="2">
        <f ca="1">IF(AND(ISNUMBER(Clean_Data!H32),Clean_Data!K32&lt;&gt;"Completed",Clean_Data!K32&lt;&gt;"Cancelled"),TODAY()-Clean_Data!H32,"")</f>
        <v>484</v>
      </c>
      <c r="F32" s="2">
        <f ca="1">IF(AND(B32=TRUE(),ISNUMBER(Clean_Data!J32),ISNUMBER(Clean_Data!I32)),MAX(0,Clean_Data!J32-Clean_Data!I32),IF(AND(B32=FALSE(),ISNUMBER(Clean_Data!I32),Clean_Data!I32&lt;TODAY(),Clean_Data!K32&lt;&gt;"Cancelled"),MAX(0,TODAY()-Clean_Data!I32),""))</f>
        <v>432</v>
      </c>
      <c r="G32" s="2" t="str">
        <f>IF(AND(B32=TRUE(),ISNUMBER(Clean_Data!J32),ISNUMBER(Clean_Data!H32)),Clean_Data!J32-Clean_Data!H32,"")</f>
        <v/>
      </c>
      <c r="H32" s="2">
        <f ca="1">IF(AND(ISNUMBER(Clean_Data!J32),ISNUMBER(Clean_Data!H32)),Clean_Data!J32-Clean_Data!H32,IF(ISNUMBER(Clean_Data!H32),TODAY()-Clean_Data!H32,""))</f>
        <v>484</v>
      </c>
      <c r="I32" s="2" t="str">
        <f>IF(ISNUMBER(Clean_Data!I32),TEXT(Clean_Data!I32,"YYYY-MM"),"")</f>
        <v>2025-02</v>
      </c>
      <c r="J32" s="2" t="str">
        <f>IF(ISNUMBER(Clean_Data!H32),TEXT(Clean_Data!H32,"YYYY-MM"),"")</f>
        <v>2024-12</v>
      </c>
      <c r="K32" s="2" t="str">
        <f>IF(ISNUMBER(Clean_Data!J32),TEXT(Clean_Data!J32,"YYYY-MM"),"")</f>
        <v/>
      </c>
      <c r="L32" s="2">
        <f>IF(ISNUMBER(Clean_Data!H32),YEAR(Clean_Data!H32),"")</f>
        <v>2024</v>
      </c>
      <c r="M32" s="2">
        <f>IF(ISNUMBER(Clean_Data!H32),MONTH(Clean_Data!H32),"")</f>
        <v>12</v>
      </c>
      <c r="N32" s="2" t="str">
        <f>IF(ISNUMBER(Clean_Data!H32),TEXT(Clean_Data!H32,"MMMM"),"")</f>
        <v>December</v>
      </c>
      <c r="O32" s="19" t="b">
        <f t="shared" ca="1" si="0"/>
        <v>1</v>
      </c>
      <c r="P32" s="19" t="b">
        <f>AND(OR(Clean_Data!F32="High",Clean_Data!F32="Critical"),C32=TRUE())</f>
        <v>0</v>
      </c>
      <c r="Q32" s="19" t="b">
        <f ca="1">AND(OR(Clean_Data!F32="High",Clean_Data!F32="Critical"),D32=TRUE())</f>
        <v>0</v>
      </c>
      <c r="R32" s="19" t="b">
        <f ca="1">AND(Clean_Data!K32="In Progress",ISNUMBER(Clean_Data!H32),TODAY()-Clean_Data!H32&gt;30)</f>
        <v>1</v>
      </c>
      <c r="S32" s="2" t="str">
        <f>IF(B32=TRUE(),IF(AND(ISNUMBER(Clean_Data!N32),ISNUMBER(Clean_Data!M32),Clean_Data!M32&gt;0),IF(Clean_Data!N32&lt;=Clean_Data!M32*1.2,"Healthy","Over Budget"),"N/A"),IF(AND(Clean_Data!K32="In Progress",ISNUMBER(Clean_Data!L32)),IF(Clean_Data!L32&gt;=0.5,"On Track","Slow"),"N/A"))</f>
        <v>N/A</v>
      </c>
      <c r="T32" s="2" t="str">
        <f>IF(AND(B32=TRUE(),ISNUMBER(Clean_Data!J32),ISNUMBER(Clean_Data!I32)),Clean_Data!J32&lt;=Clean_Data!I32,"")</f>
        <v/>
      </c>
      <c r="U32" s="19" t="b">
        <f>IF(NOT(ISNUMBER(Clean_Data!L32)),FALSE(),AND(Clean_Data!L32&gt;=0,Clean_Data!L32&lt;=1))</f>
        <v>0</v>
      </c>
    </row>
    <row r="33" spans="1:21" x14ac:dyDescent="0.3">
      <c r="A33" s="5" t="str">
        <f>Clean_Data!A33</f>
        <v>TSK-0032</v>
      </c>
      <c r="B33" s="20" t="b">
        <f>Clean_Data!K33="Completed"</f>
        <v>0</v>
      </c>
      <c r="C33" s="20" t="b">
        <f>OR(Clean_Data!K33="Not Started",Clean_Data!K33="In Progress",Clean_Data!K33="On Hold")</f>
        <v>1</v>
      </c>
      <c r="D33" s="20" t="b">
        <f ca="1">AND(ISNUMBER(Clean_Data!I33),Clean_Data!I33&lt;TODAY(),Clean_Data!K33&lt;&gt;"Completed",Clean_Data!K33&lt;&gt;"Cancelled")</f>
        <v>1</v>
      </c>
      <c r="E33" s="5">
        <f ca="1">IF(AND(ISNUMBER(Clean_Data!H33),Clean_Data!K33&lt;&gt;"Completed",Clean_Data!K33&lt;&gt;"Cancelled"),TODAY()-Clean_Data!H33,"")</f>
        <v>569</v>
      </c>
      <c r="F33" s="5">
        <f ca="1">IF(AND(B33=TRUE(),ISNUMBER(Clean_Data!J33),ISNUMBER(Clean_Data!I33)),MAX(0,Clean_Data!J33-Clean_Data!I33),IF(AND(B33=FALSE(),ISNUMBER(Clean_Data!I33),Clean_Data!I33&lt;TODAY(),Clean_Data!K33&lt;&gt;"Cancelled"),MAX(0,TODAY()-Clean_Data!I33),""))</f>
        <v>534</v>
      </c>
      <c r="G33" s="5" t="str">
        <f>IF(AND(B33=TRUE(),ISNUMBER(Clean_Data!J33),ISNUMBER(Clean_Data!H33)),Clean_Data!J33-Clean_Data!H33,"")</f>
        <v/>
      </c>
      <c r="H33" s="5">
        <f ca="1">IF(AND(ISNUMBER(Clean_Data!J33),ISNUMBER(Clean_Data!H33)),Clean_Data!J33-Clean_Data!H33,IF(ISNUMBER(Clean_Data!H33),TODAY()-Clean_Data!H33,""))</f>
        <v>569</v>
      </c>
      <c r="I33" s="5" t="str">
        <f>IF(ISNUMBER(Clean_Data!I33),TEXT(Clean_Data!I33,"YYYY-MM"),"")</f>
        <v>2024-10</v>
      </c>
      <c r="J33" s="5" t="str">
        <f>IF(ISNUMBER(Clean_Data!H33),TEXT(Clean_Data!H33,"YYYY-MM"),"")</f>
        <v>2024-09</v>
      </c>
      <c r="K33" s="5" t="str">
        <f>IF(ISNUMBER(Clean_Data!J33),TEXT(Clean_Data!J33,"YYYY-MM"),"")</f>
        <v/>
      </c>
      <c r="L33" s="5">
        <f>IF(ISNUMBER(Clean_Data!H33),YEAR(Clean_Data!H33),"")</f>
        <v>2024</v>
      </c>
      <c r="M33" s="5">
        <f>IF(ISNUMBER(Clean_Data!H33),MONTH(Clean_Data!H33),"")</f>
        <v>9</v>
      </c>
      <c r="N33" s="5" t="str">
        <f>IF(ISNUMBER(Clean_Data!H33),TEXT(Clean_Data!H33,"MMMM"),"")</f>
        <v>September</v>
      </c>
      <c r="O33" s="20" t="b">
        <f t="shared" ca="1" si="0"/>
        <v>1</v>
      </c>
      <c r="P33" s="20" t="b">
        <f>AND(OR(Clean_Data!F33="High",Clean_Data!F33="Critical"),C33=TRUE())</f>
        <v>0</v>
      </c>
      <c r="Q33" s="20" t="b">
        <f ca="1">AND(OR(Clean_Data!F33="High",Clean_Data!F33="Critical"),D33=TRUE())</f>
        <v>0</v>
      </c>
      <c r="R33" s="20" t="b">
        <f ca="1">AND(Clean_Data!K33="In Progress",ISNUMBER(Clean_Data!H33),TODAY()-Clean_Data!H33&gt;30)</f>
        <v>1</v>
      </c>
      <c r="S33" s="5" t="str">
        <f>IF(B33=TRUE(),IF(AND(ISNUMBER(Clean_Data!N33),ISNUMBER(Clean_Data!M33),Clean_Data!M33&gt;0),IF(Clean_Data!N33&lt;=Clean_Data!M33*1.2,"Healthy","Over Budget"),"N/A"),IF(AND(Clean_Data!K33="In Progress",ISNUMBER(Clean_Data!L33)),IF(Clean_Data!L33&gt;=0.5,"On Track","Slow"),"N/A"))</f>
        <v>On Track</v>
      </c>
      <c r="T33" s="5" t="str">
        <f>IF(AND(B33=TRUE(),ISNUMBER(Clean_Data!J33),ISNUMBER(Clean_Data!I33)),Clean_Data!J33&lt;=Clean_Data!I33,"")</f>
        <v/>
      </c>
      <c r="U33" s="20" t="b">
        <f>IF(NOT(ISNUMBER(Clean_Data!L33)),FALSE(),AND(Clean_Data!L33&gt;=0,Clean_Data!L33&lt;=1))</f>
        <v>1</v>
      </c>
    </row>
    <row r="34" spans="1:21" x14ac:dyDescent="0.3">
      <c r="A34" s="2" t="str">
        <f>Clean_Data!A34</f>
        <v>TSK-0033</v>
      </c>
      <c r="B34" s="19" t="b">
        <f>Clean_Data!K34="Completed"</f>
        <v>1</v>
      </c>
      <c r="C34" s="19" t="b">
        <f>OR(Clean_Data!K34="Not Started",Clean_Data!K34="In Progress",Clean_Data!K34="On Hold")</f>
        <v>0</v>
      </c>
      <c r="D34" s="19" t="b">
        <f ca="1">AND(ISNUMBER(Clean_Data!I34),Clean_Data!I34&lt;TODAY(),Clean_Data!K34&lt;&gt;"Completed",Clean_Data!K34&lt;&gt;"Cancelled")</f>
        <v>0</v>
      </c>
      <c r="E34" s="2" t="str">
        <f ca="1">IF(AND(ISNUMBER(Clean_Data!H34),Clean_Data!K34&lt;&gt;"Completed",Clean_Data!K34&lt;&gt;"Cancelled"),TODAY()-Clean_Data!H34,"")</f>
        <v/>
      </c>
      <c r="F34" s="2">
        <f ca="1">IF(AND(B34=TRUE(),ISNUMBER(Clean_Data!J34),ISNUMBER(Clean_Data!I34)),MAX(0,Clean_Data!J34-Clean_Data!I34),IF(AND(B34=FALSE(),ISNUMBER(Clean_Data!I34),Clean_Data!I34&lt;TODAY(),Clean_Data!K34&lt;&gt;"Cancelled"),MAX(0,TODAY()-Clean_Data!I34),""))</f>
        <v>4</v>
      </c>
      <c r="G34" s="2">
        <f>IF(AND(B34=TRUE(),ISNUMBER(Clean_Data!J34),ISNUMBER(Clean_Data!H34)),Clean_Data!J34-Clean_Data!H34,"")</f>
        <v>63</v>
      </c>
      <c r="H34" s="2">
        <f ca="1">IF(AND(ISNUMBER(Clean_Data!J34),ISNUMBER(Clean_Data!H34)),Clean_Data!J34-Clean_Data!H34,IF(ISNUMBER(Clean_Data!H34),TODAY()-Clean_Data!H34,""))</f>
        <v>63</v>
      </c>
      <c r="I34" s="2" t="str">
        <f>IF(ISNUMBER(Clean_Data!I34),TEXT(Clean_Data!I34,"YYYY-MM"),"")</f>
        <v>2025-01</v>
      </c>
      <c r="J34" s="2" t="str">
        <f>IF(ISNUMBER(Clean_Data!H34),TEXT(Clean_Data!H34,"YYYY-MM"),"")</f>
        <v>2024-11</v>
      </c>
      <c r="K34" s="2" t="str">
        <f>IF(ISNUMBER(Clean_Data!J34),TEXT(Clean_Data!J34,"YYYY-MM"),"")</f>
        <v>2025-01</v>
      </c>
      <c r="L34" s="2">
        <f>IF(ISNUMBER(Clean_Data!H34),YEAR(Clean_Data!H34),"")</f>
        <v>2024</v>
      </c>
      <c r="M34" s="2">
        <f>IF(ISNUMBER(Clean_Data!H34),MONTH(Clean_Data!H34),"")</f>
        <v>11</v>
      </c>
      <c r="N34" s="2" t="str">
        <f>IF(ISNUMBER(Clean_Data!H34),TEXT(Clean_Data!H34,"MMMM"),"")</f>
        <v>November</v>
      </c>
      <c r="O34" s="19" t="b">
        <f t="shared" ref="O34:O65" ca="1" si="1">D34</f>
        <v>0</v>
      </c>
      <c r="P34" s="19" t="b">
        <f>AND(OR(Clean_Data!F34="High",Clean_Data!F34="Critical"),C34=TRUE())</f>
        <v>0</v>
      </c>
      <c r="Q34" s="19" t="b">
        <f ca="1">AND(OR(Clean_Data!F34="High",Clean_Data!F34="Critical"),D34=TRUE())</f>
        <v>0</v>
      </c>
      <c r="R34" s="19" t="b">
        <f ca="1">AND(Clean_Data!K34="In Progress",ISNUMBER(Clean_Data!H34),TODAY()-Clean_Data!H34&gt;30)</f>
        <v>0</v>
      </c>
      <c r="S34" s="2" t="str">
        <f>IF(B34=TRUE(),IF(AND(ISNUMBER(Clean_Data!N34),ISNUMBER(Clean_Data!M34),Clean_Data!M34&gt;0),IF(Clean_Data!N34&lt;=Clean_Data!M34*1.2,"Healthy","Over Budget"),"N/A"),IF(AND(Clean_Data!K34="In Progress",ISNUMBER(Clean_Data!L34)),IF(Clean_Data!L34&gt;=0.5,"On Track","Slow"),"N/A"))</f>
        <v>Healthy</v>
      </c>
      <c r="T34" s="19" t="b">
        <f>IF(AND(B34=TRUE(),ISNUMBER(Clean_Data!J34),ISNUMBER(Clean_Data!I34)),Clean_Data!J34&lt;=Clean_Data!I34,"")</f>
        <v>0</v>
      </c>
      <c r="U34" s="19" t="b">
        <f>IF(NOT(ISNUMBER(Clean_Data!L34)),FALSE(),AND(Clean_Data!L34&gt;=0,Clean_Data!L34&lt;=1))</f>
        <v>1</v>
      </c>
    </row>
    <row r="35" spans="1:21" x14ac:dyDescent="0.3">
      <c r="A35" s="5" t="str">
        <f>Clean_Data!A35</f>
        <v>TSK-0034</v>
      </c>
      <c r="B35" s="20" t="b">
        <f>Clean_Data!K35="Completed"</f>
        <v>0</v>
      </c>
      <c r="C35" s="20" t="b">
        <f>OR(Clean_Data!K35="Not Started",Clean_Data!K35="In Progress",Clean_Data!K35="On Hold")</f>
        <v>1</v>
      </c>
      <c r="D35" s="20" t="b">
        <f ca="1">AND(ISNUMBER(Clean_Data!I35),Clean_Data!I35&lt;TODAY(),Clean_Data!K35&lt;&gt;"Completed",Clean_Data!K35&lt;&gt;"Cancelled")</f>
        <v>1</v>
      </c>
      <c r="E35" s="5">
        <f ca="1">IF(AND(ISNUMBER(Clean_Data!H35),Clean_Data!K35&lt;&gt;"Completed",Clean_Data!K35&lt;&gt;"Cancelled"),TODAY()-Clean_Data!H35,"")</f>
        <v>432</v>
      </c>
      <c r="F35" s="5">
        <f ca="1">IF(AND(B35=TRUE(),ISNUMBER(Clean_Data!J35),ISNUMBER(Clean_Data!I35)),MAX(0,Clean_Data!J35-Clean_Data!I35),IF(AND(B35=FALSE(),ISNUMBER(Clean_Data!I35),Clean_Data!I35&lt;TODAY(),Clean_Data!K35&lt;&gt;"Cancelled"),MAX(0,TODAY()-Clean_Data!I35),""))</f>
        <v>400</v>
      </c>
      <c r="G35" s="5" t="str">
        <f>IF(AND(B35=TRUE(),ISNUMBER(Clean_Data!J35),ISNUMBER(Clean_Data!H35)),Clean_Data!J35-Clean_Data!H35,"")</f>
        <v/>
      </c>
      <c r="H35" s="5">
        <f ca="1">IF(AND(ISNUMBER(Clean_Data!J35),ISNUMBER(Clean_Data!H35)),Clean_Data!J35-Clean_Data!H35,IF(ISNUMBER(Clean_Data!H35),TODAY()-Clean_Data!H35,""))</f>
        <v>432</v>
      </c>
      <c r="I35" s="5" t="str">
        <f>IF(ISNUMBER(Clean_Data!I35),TEXT(Clean_Data!I35,"YYYY-MM"),"")</f>
        <v>2025-03</v>
      </c>
      <c r="J35" s="5" t="str">
        <f>IF(ISNUMBER(Clean_Data!H35),TEXT(Clean_Data!H35,"YYYY-MM"),"")</f>
        <v>2025-02</v>
      </c>
      <c r="K35" s="5" t="str">
        <f>IF(ISNUMBER(Clean_Data!J35),TEXT(Clean_Data!J35,"YYYY-MM"),"")</f>
        <v/>
      </c>
      <c r="L35" s="5">
        <f>IF(ISNUMBER(Clean_Data!H35),YEAR(Clean_Data!H35),"")</f>
        <v>2025</v>
      </c>
      <c r="M35" s="5">
        <f>IF(ISNUMBER(Clean_Data!H35),MONTH(Clean_Data!H35),"")</f>
        <v>2</v>
      </c>
      <c r="N35" s="5" t="str">
        <f>IF(ISNUMBER(Clean_Data!H35),TEXT(Clean_Data!H35,"MMMM"),"")</f>
        <v>February</v>
      </c>
      <c r="O35" s="20" t="b">
        <f t="shared" ca="1" si="1"/>
        <v>1</v>
      </c>
      <c r="P35" s="20" t="b">
        <f>AND(OR(Clean_Data!F35="High",Clean_Data!F35="Critical"),C35=TRUE())</f>
        <v>1</v>
      </c>
      <c r="Q35" s="20" t="b">
        <f ca="1">AND(OR(Clean_Data!F35="High",Clean_Data!F35="Critical"),D35=TRUE())</f>
        <v>1</v>
      </c>
      <c r="R35" s="20" t="b">
        <f ca="1">AND(Clean_Data!K35="In Progress",ISNUMBER(Clean_Data!H35),TODAY()-Clean_Data!H35&gt;30)</f>
        <v>1</v>
      </c>
      <c r="S35" s="5" t="str">
        <f>IF(B35=TRUE(),IF(AND(ISNUMBER(Clean_Data!N35),ISNUMBER(Clean_Data!M35),Clean_Data!M35&gt;0),IF(Clean_Data!N35&lt;=Clean_Data!M35*1.2,"Healthy","Over Budget"),"N/A"),IF(AND(Clean_Data!K35="In Progress",ISNUMBER(Clean_Data!L35)),IF(Clean_Data!L35&gt;=0.5,"On Track","Slow"),"N/A"))</f>
        <v>N/A</v>
      </c>
      <c r="T35" s="5" t="str">
        <f>IF(AND(B35=TRUE(),ISNUMBER(Clean_Data!J35),ISNUMBER(Clean_Data!I35)),Clean_Data!J35&lt;=Clean_Data!I35,"")</f>
        <v/>
      </c>
      <c r="U35" s="20" t="b">
        <f>IF(NOT(ISNUMBER(Clean_Data!L35)),FALSE(),AND(Clean_Data!L35&gt;=0,Clean_Data!L35&lt;=1))</f>
        <v>0</v>
      </c>
    </row>
    <row r="36" spans="1:21" x14ac:dyDescent="0.3">
      <c r="A36" s="2" t="str">
        <f>Clean_Data!A36</f>
        <v>TSK-0035</v>
      </c>
      <c r="B36" s="19" t="b">
        <f>Clean_Data!K36="Completed"</f>
        <v>0</v>
      </c>
      <c r="C36" s="19" t="b">
        <f>OR(Clean_Data!K36="Not Started",Clean_Data!K36="In Progress",Clean_Data!K36="On Hold")</f>
        <v>0</v>
      </c>
      <c r="D36" s="19" t="b">
        <f ca="1">AND(ISNUMBER(Clean_Data!I36),Clean_Data!I36&lt;TODAY(),Clean_Data!K36&lt;&gt;"Completed",Clean_Data!K36&lt;&gt;"Cancelled")</f>
        <v>0</v>
      </c>
      <c r="E36" s="2" t="str">
        <f ca="1">IF(AND(ISNUMBER(Clean_Data!H36),Clean_Data!K36&lt;&gt;"Completed",Clean_Data!K36&lt;&gt;"Cancelled"),TODAY()-Clean_Data!H36,"")</f>
        <v/>
      </c>
      <c r="F36" s="2" t="str">
        <f ca="1">IF(AND(B36=TRUE(),ISNUMBER(Clean_Data!J36),ISNUMBER(Clean_Data!I36)),MAX(0,Clean_Data!J36-Clean_Data!I36),IF(AND(B36=FALSE(),ISNUMBER(Clean_Data!I36),Clean_Data!I36&lt;TODAY(),Clean_Data!K36&lt;&gt;"Cancelled"),MAX(0,TODAY()-Clean_Data!I36),""))</f>
        <v/>
      </c>
      <c r="G36" s="2" t="str">
        <f>IF(AND(B36=TRUE(),ISNUMBER(Clean_Data!J36),ISNUMBER(Clean_Data!H36)),Clean_Data!J36-Clean_Data!H36,"")</f>
        <v/>
      </c>
      <c r="H36" s="2">
        <f ca="1">IF(AND(ISNUMBER(Clean_Data!J36),ISNUMBER(Clean_Data!H36)),Clean_Data!J36-Clean_Data!H36,IF(ISNUMBER(Clean_Data!H36),TODAY()-Clean_Data!H36,""))</f>
        <v>444</v>
      </c>
      <c r="I36" s="2" t="str">
        <f>IF(ISNUMBER(Clean_Data!I36),TEXT(Clean_Data!I36,"YYYY-MM"),"")</f>
        <v>2025-02</v>
      </c>
      <c r="J36" s="2" t="str">
        <f>IF(ISNUMBER(Clean_Data!H36),TEXT(Clean_Data!H36,"YYYY-MM"),"")</f>
        <v>2025-01</v>
      </c>
      <c r="K36" s="2" t="str">
        <f>IF(ISNUMBER(Clean_Data!J36),TEXT(Clean_Data!J36,"YYYY-MM"),"")</f>
        <v/>
      </c>
      <c r="L36" s="2">
        <f>IF(ISNUMBER(Clean_Data!H36),YEAR(Clean_Data!H36),"")</f>
        <v>2025</v>
      </c>
      <c r="M36" s="2">
        <f>IF(ISNUMBER(Clean_Data!H36),MONTH(Clean_Data!H36),"")</f>
        <v>1</v>
      </c>
      <c r="N36" s="2" t="str">
        <f>IF(ISNUMBER(Clean_Data!H36),TEXT(Clean_Data!H36,"MMMM"),"")</f>
        <v>January</v>
      </c>
      <c r="O36" s="19" t="b">
        <f t="shared" ca="1" si="1"/>
        <v>0</v>
      </c>
      <c r="P36" s="19" t="b">
        <f>AND(OR(Clean_Data!F36="High",Clean_Data!F36="Critical"),C36=TRUE())</f>
        <v>0</v>
      </c>
      <c r="Q36" s="19" t="b">
        <f ca="1">AND(OR(Clean_Data!F36="High",Clean_Data!F36="Critical"),D36=TRUE())</f>
        <v>0</v>
      </c>
      <c r="R36" s="19" t="b">
        <f ca="1">AND(Clean_Data!K36="In Progress",ISNUMBER(Clean_Data!H36),TODAY()-Clean_Data!H36&gt;30)</f>
        <v>0</v>
      </c>
      <c r="S36" s="2" t="str">
        <f>IF(B36=TRUE(),IF(AND(ISNUMBER(Clean_Data!N36),ISNUMBER(Clean_Data!M36),Clean_Data!M36&gt;0),IF(Clean_Data!N36&lt;=Clean_Data!M36*1.2,"Healthy","Over Budget"),"N/A"),IF(AND(Clean_Data!K36="In Progress",ISNUMBER(Clean_Data!L36)),IF(Clean_Data!L36&gt;=0.5,"On Track","Slow"),"N/A"))</f>
        <v>N/A</v>
      </c>
      <c r="T36" s="2" t="str">
        <f>IF(AND(B36=TRUE(),ISNUMBER(Clean_Data!J36),ISNUMBER(Clean_Data!I36)),Clean_Data!J36&lt;=Clean_Data!I36,"")</f>
        <v/>
      </c>
      <c r="U36" s="19" t="b">
        <f>IF(NOT(ISNUMBER(Clean_Data!L36)),FALSE(),AND(Clean_Data!L36&gt;=0,Clean_Data!L36&lt;=1))</f>
        <v>0</v>
      </c>
    </row>
    <row r="37" spans="1:21" x14ac:dyDescent="0.3">
      <c r="A37" s="5" t="str">
        <f>Clean_Data!A37</f>
        <v>TSK-0036</v>
      </c>
      <c r="B37" s="20" t="b">
        <f>Clean_Data!K37="Completed"</f>
        <v>0</v>
      </c>
      <c r="C37" s="20" t="b">
        <f>OR(Clean_Data!K37="Not Started",Clean_Data!K37="In Progress",Clean_Data!K37="On Hold")</f>
        <v>0</v>
      </c>
      <c r="D37" s="20" t="b">
        <f ca="1">AND(ISNUMBER(Clean_Data!I37),Clean_Data!I37&lt;TODAY(),Clean_Data!K37&lt;&gt;"Completed",Clean_Data!K37&lt;&gt;"Cancelled")</f>
        <v>0</v>
      </c>
      <c r="E37" s="5" t="str">
        <f ca="1">IF(AND(ISNUMBER(Clean_Data!H37),Clean_Data!K37&lt;&gt;"Completed",Clean_Data!K37&lt;&gt;"Cancelled"),TODAY()-Clean_Data!H37,"")</f>
        <v/>
      </c>
      <c r="F37" s="5" t="str">
        <f ca="1">IF(AND(B37=TRUE(),ISNUMBER(Clean_Data!J37),ISNUMBER(Clean_Data!I37)),MAX(0,Clean_Data!J37-Clean_Data!I37),IF(AND(B37=FALSE(),ISNUMBER(Clean_Data!I37),Clean_Data!I37&lt;TODAY(),Clean_Data!K37&lt;&gt;"Cancelled"),MAX(0,TODAY()-Clean_Data!I37),""))</f>
        <v/>
      </c>
      <c r="G37" s="5" t="str">
        <f>IF(AND(B37=TRUE(),ISNUMBER(Clean_Data!J37),ISNUMBER(Clean_Data!H37)),Clean_Data!J37-Clean_Data!H37,"")</f>
        <v/>
      </c>
      <c r="H37" s="5">
        <f ca="1">IF(AND(ISNUMBER(Clean_Data!J37),ISNUMBER(Clean_Data!H37)),Clean_Data!J37-Clean_Data!H37,IF(ISNUMBER(Clean_Data!H37),TODAY()-Clean_Data!H37,""))</f>
        <v>438</v>
      </c>
      <c r="I37" s="5" t="str">
        <f>IF(ISNUMBER(Clean_Data!I37),TEXT(Clean_Data!I37,"YYYY-MM"),"")</f>
        <v>2025-03</v>
      </c>
      <c r="J37" s="5" t="str">
        <f>IF(ISNUMBER(Clean_Data!H37),TEXT(Clean_Data!H37,"YYYY-MM"),"")</f>
        <v>2025-01</v>
      </c>
      <c r="K37" s="5" t="str">
        <f>IF(ISNUMBER(Clean_Data!J37),TEXT(Clean_Data!J37,"YYYY-MM"),"")</f>
        <v/>
      </c>
      <c r="L37" s="5">
        <f>IF(ISNUMBER(Clean_Data!H37),YEAR(Clean_Data!H37),"")</f>
        <v>2025</v>
      </c>
      <c r="M37" s="5">
        <f>IF(ISNUMBER(Clean_Data!H37),MONTH(Clean_Data!H37),"")</f>
        <v>1</v>
      </c>
      <c r="N37" s="5" t="str">
        <f>IF(ISNUMBER(Clean_Data!H37),TEXT(Clean_Data!H37,"MMMM"),"")</f>
        <v>January</v>
      </c>
      <c r="O37" s="20" t="b">
        <f t="shared" ca="1" si="1"/>
        <v>0</v>
      </c>
      <c r="P37" s="20" t="b">
        <f>AND(OR(Clean_Data!F37="High",Clean_Data!F37="Critical"),C37=TRUE())</f>
        <v>0</v>
      </c>
      <c r="Q37" s="20" t="b">
        <f ca="1">AND(OR(Clean_Data!F37="High",Clean_Data!F37="Critical"),D37=TRUE())</f>
        <v>0</v>
      </c>
      <c r="R37" s="20" t="b">
        <f ca="1">AND(Clean_Data!K37="In Progress",ISNUMBER(Clean_Data!H37),TODAY()-Clean_Data!H37&gt;30)</f>
        <v>0</v>
      </c>
      <c r="S37" s="5" t="str">
        <f>IF(B37=TRUE(),IF(AND(ISNUMBER(Clean_Data!N37),ISNUMBER(Clean_Data!M37),Clean_Data!M37&gt;0),IF(Clean_Data!N37&lt;=Clean_Data!M37*1.2,"Healthy","Over Budget"),"N/A"),IF(AND(Clean_Data!K37="In Progress",ISNUMBER(Clean_Data!L37)),IF(Clean_Data!L37&gt;=0.5,"On Track","Slow"),"N/A"))</f>
        <v>N/A</v>
      </c>
      <c r="T37" s="5" t="str">
        <f>IF(AND(B37=TRUE(),ISNUMBER(Clean_Data!J37),ISNUMBER(Clean_Data!I37)),Clean_Data!J37&lt;=Clean_Data!I37,"")</f>
        <v/>
      </c>
      <c r="U37" s="20" t="b">
        <f>IF(NOT(ISNUMBER(Clean_Data!L37)),FALSE(),AND(Clean_Data!L37&gt;=0,Clean_Data!L37&lt;=1))</f>
        <v>0</v>
      </c>
    </row>
    <row r="38" spans="1:21" x14ac:dyDescent="0.3">
      <c r="A38" s="2" t="str">
        <f>Clean_Data!A38</f>
        <v>TSK-0037</v>
      </c>
      <c r="B38" s="19" t="b">
        <f>Clean_Data!K38="Completed"</f>
        <v>0</v>
      </c>
      <c r="C38" s="19" t="b">
        <f>OR(Clean_Data!K38="Not Started",Clean_Data!K38="In Progress",Clean_Data!K38="On Hold")</f>
        <v>1</v>
      </c>
      <c r="D38" s="19" t="b">
        <f ca="1">AND(ISNUMBER(Clean_Data!I38),Clean_Data!I38&lt;TODAY(),Clean_Data!K38&lt;&gt;"Completed",Clean_Data!K38&lt;&gt;"Cancelled")</f>
        <v>1</v>
      </c>
      <c r="E38" s="2">
        <f ca="1">IF(AND(ISNUMBER(Clean_Data!H38),Clean_Data!K38&lt;&gt;"Completed",Clean_Data!K38&lt;&gt;"Cancelled"),TODAY()-Clean_Data!H38,"")</f>
        <v>760</v>
      </c>
      <c r="F38" s="2">
        <f ca="1">IF(AND(B38=TRUE(),ISNUMBER(Clean_Data!J38),ISNUMBER(Clean_Data!I38)),MAX(0,Clean_Data!J38-Clean_Data!I38),IF(AND(B38=FALSE(),ISNUMBER(Clean_Data!I38),Clean_Data!I38&lt;TODAY(),Clean_Data!K38&lt;&gt;"Cancelled"),MAX(0,TODAY()-Clean_Data!I38),""))</f>
        <v>746</v>
      </c>
      <c r="G38" s="2" t="str">
        <f>IF(AND(B38=TRUE(),ISNUMBER(Clean_Data!J38),ISNUMBER(Clean_Data!H38)),Clean_Data!J38-Clean_Data!H38,"")</f>
        <v/>
      </c>
      <c r="H38" s="2">
        <f ca="1">IF(AND(ISNUMBER(Clean_Data!J38),ISNUMBER(Clean_Data!H38)),Clean_Data!J38-Clean_Data!H38,IF(ISNUMBER(Clean_Data!H38),TODAY()-Clean_Data!H38,""))</f>
        <v>760</v>
      </c>
      <c r="I38" s="2" t="str">
        <f>IF(ISNUMBER(Clean_Data!I38),TEXT(Clean_Data!I38,"YYYY-MM"),"")</f>
        <v>2024-03</v>
      </c>
      <c r="J38" s="2" t="str">
        <f>IF(ISNUMBER(Clean_Data!H38),TEXT(Clean_Data!H38,"YYYY-MM"),"")</f>
        <v>2024-03</v>
      </c>
      <c r="K38" s="2" t="str">
        <f>IF(ISNUMBER(Clean_Data!J38),TEXT(Clean_Data!J38,"YYYY-MM"),"")</f>
        <v/>
      </c>
      <c r="L38" s="2">
        <f>IF(ISNUMBER(Clean_Data!H38),YEAR(Clean_Data!H38),"")</f>
        <v>2024</v>
      </c>
      <c r="M38" s="2">
        <f>IF(ISNUMBER(Clean_Data!H38),MONTH(Clean_Data!H38),"")</f>
        <v>3</v>
      </c>
      <c r="N38" s="2" t="str">
        <f>IF(ISNUMBER(Clean_Data!H38),TEXT(Clean_Data!H38,"MMMM"),"")</f>
        <v>March</v>
      </c>
      <c r="O38" s="19" t="b">
        <f t="shared" ca="1" si="1"/>
        <v>1</v>
      </c>
      <c r="P38" s="19" t="b">
        <f>AND(OR(Clean_Data!F38="High",Clean_Data!F38="Critical"),C38=TRUE())</f>
        <v>0</v>
      </c>
      <c r="Q38" s="19" t="b">
        <f ca="1">AND(OR(Clean_Data!F38="High",Clean_Data!F38="Critical"),D38=TRUE())</f>
        <v>0</v>
      </c>
      <c r="R38" s="19" t="b">
        <f ca="1">AND(Clean_Data!K38="In Progress",ISNUMBER(Clean_Data!H38),TODAY()-Clean_Data!H38&gt;30)</f>
        <v>1</v>
      </c>
      <c r="S38" s="2" t="str">
        <f>IF(B38=TRUE(),IF(AND(ISNUMBER(Clean_Data!N38),ISNUMBER(Clean_Data!M38),Clean_Data!M38&gt;0),IF(Clean_Data!N38&lt;=Clean_Data!M38*1.2,"Healthy","Over Budget"),"N/A"),IF(AND(Clean_Data!K38="In Progress",ISNUMBER(Clean_Data!L38)),IF(Clean_Data!L38&gt;=0.5,"On Track","Slow"),"N/A"))</f>
        <v>On Track</v>
      </c>
      <c r="T38" s="2" t="str">
        <f>IF(AND(B38=TRUE(),ISNUMBER(Clean_Data!J38),ISNUMBER(Clean_Data!I38)),Clean_Data!J38&lt;=Clean_Data!I38,"")</f>
        <v/>
      </c>
      <c r="U38" s="19" t="b">
        <f>IF(NOT(ISNUMBER(Clean_Data!L38)),FALSE(),AND(Clean_Data!L38&gt;=0,Clean_Data!L38&lt;=1))</f>
        <v>1</v>
      </c>
    </row>
    <row r="39" spans="1:21" x14ac:dyDescent="0.3">
      <c r="A39" s="5" t="str">
        <f>Clean_Data!A39</f>
        <v>TSK-0038</v>
      </c>
      <c r="B39" s="20" t="b">
        <f>Clean_Data!K39="Completed"</f>
        <v>0</v>
      </c>
      <c r="C39" s="20" t="b">
        <f>OR(Clean_Data!K39="Not Started",Clean_Data!K39="In Progress",Clean_Data!K39="On Hold")</f>
        <v>1</v>
      </c>
      <c r="D39" s="20" t="b">
        <f ca="1">AND(ISNUMBER(Clean_Data!I39),Clean_Data!I39&lt;TODAY(),Clean_Data!K39&lt;&gt;"Completed",Clean_Data!K39&lt;&gt;"Cancelled")</f>
        <v>1</v>
      </c>
      <c r="E39" s="5">
        <f ca="1">IF(AND(ISNUMBER(Clean_Data!H39),Clean_Data!K39&lt;&gt;"Completed",Clean_Data!K39&lt;&gt;"Cancelled"),TODAY()-Clean_Data!H39,"")</f>
        <v>586</v>
      </c>
      <c r="F39" s="5">
        <f ca="1">IF(AND(B39=TRUE(),ISNUMBER(Clean_Data!J39),ISNUMBER(Clean_Data!I39)),MAX(0,Clean_Data!J39-Clean_Data!I39),IF(AND(B39=FALSE(),ISNUMBER(Clean_Data!I39),Clean_Data!I39&lt;TODAY(),Clean_Data!K39&lt;&gt;"Cancelled"),MAX(0,TODAY()-Clean_Data!I39),""))</f>
        <v>581</v>
      </c>
      <c r="G39" s="5" t="str">
        <f>IF(AND(B39=TRUE(),ISNUMBER(Clean_Data!J39),ISNUMBER(Clean_Data!H39)),Clean_Data!J39-Clean_Data!H39,"")</f>
        <v/>
      </c>
      <c r="H39" s="5">
        <f ca="1">IF(AND(ISNUMBER(Clean_Data!J39),ISNUMBER(Clean_Data!H39)),Clean_Data!J39-Clean_Data!H39,IF(ISNUMBER(Clean_Data!H39),TODAY()-Clean_Data!H39,""))</f>
        <v>586</v>
      </c>
      <c r="I39" s="5" t="str">
        <f>IF(ISNUMBER(Clean_Data!I39),TEXT(Clean_Data!I39,"YYYY-MM"),"")</f>
        <v>2024-09</v>
      </c>
      <c r="J39" s="5" t="str">
        <f>IF(ISNUMBER(Clean_Data!H39),TEXT(Clean_Data!H39,"YYYY-MM"),"")</f>
        <v>2024-09</v>
      </c>
      <c r="K39" s="5" t="str">
        <f>IF(ISNUMBER(Clean_Data!J39),TEXT(Clean_Data!J39,"YYYY-MM"),"")</f>
        <v/>
      </c>
      <c r="L39" s="5">
        <f>IF(ISNUMBER(Clean_Data!H39),YEAR(Clean_Data!H39),"")</f>
        <v>2024</v>
      </c>
      <c r="M39" s="5">
        <f>IF(ISNUMBER(Clean_Data!H39),MONTH(Clean_Data!H39),"")</f>
        <v>9</v>
      </c>
      <c r="N39" s="5" t="str">
        <f>IF(ISNUMBER(Clean_Data!H39),TEXT(Clean_Data!H39,"MMMM"),"")</f>
        <v>September</v>
      </c>
      <c r="O39" s="20" t="b">
        <f t="shared" ca="1" si="1"/>
        <v>1</v>
      </c>
      <c r="P39" s="20" t="b">
        <f>AND(OR(Clean_Data!F39="High",Clean_Data!F39="Critical"),C39=TRUE())</f>
        <v>1</v>
      </c>
      <c r="Q39" s="20" t="b">
        <f ca="1">AND(OR(Clean_Data!F39="High",Clean_Data!F39="Critical"),D39=TRUE())</f>
        <v>1</v>
      </c>
      <c r="R39" s="20" t="b">
        <f ca="1">AND(Clean_Data!K39="In Progress",ISNUMBER(Clean_Data!H39),TODAY()-Clean_Data!H39&gt;30)</f>
        <v>0</v>
      </c>
      <c r="S39" s="5" t="str">
        <f>IF(B39=TRUE(),IF(AND(ISNUMBER(Clean_Data!N39),ISNUMBER(Clean_Data!M39),Clean_Data!M39&gt;0),IF(Clean_Data!N39&lt;=Clean_Data!M39*1.2,"Healthy","Over Budget"),"N/A"),IF(AND(Clean_Data!K39="In Progress",ISNUMBER(Clean_Data!L39)),IF(Clean_Data!L39&gt;=0.5,"On Track","Slow"),"N/A"))</f>
        <v>N/A</v>
      </c>
      <c r="T39" s="5" t="str">
        <f>IF(AND(B39=TRUE(),ISNUMBER(Clean_Data!J39),ISNUMBER(Clean_Data!I39)),Clean_Data!J39&lt;=Clean_Data!I39,"")</f>
        <v/>
      </c>
      <c r="U39" s="20" t="b">
        <f>IF(NOT(ISNUMBER(Clean_Data!L39)),FALSE(),AND(Clean_Data!L39&gt;=0,Clean_Data!L39&lt;=1))</f>
        <v>1</v>
      </c>
    </row>
    <row r="40" spans="1:21" x14ac:dyDescent="0.3">
      <c r="A40" s="2" t="str">
        <f>Clean_Data!A40</f>
        <v>TSK-0039</v>
      </c>
      <c r="B40" s="19" t="b">
        <f>Clean_Data!K40="Completed"</f>
        <v>0</v>
      </c>
      <c r="C40" s="19" t="b">
        <f>OR(Clean_Data!K40="Not Started",Clean_Data!K40="In Progress",Clean_Data!K40="On Hold")</f>
        <v>1</v>
      </c>
      <c r="D40" s="19" t="b">
        <f ca="1">AND(ISNUMBER(Clean_Data!I40),Clean_Data!I40&lt;TODAY(),Clean_Data!K40&lt;&gt;"Completed",Clean_Data!K40&lt;&gt;"Cancelled")</f>
        <v>1</v>
      </c>
      <c r="E40" s="2">
        <f ca="1">IF(AND(ISNUMBER(Clean_Data!H40),Clean_Data!K40&lt;&gt;"Completed",Clean_Data!K40&lt;&gt;"Cancelled"),TODAY()-Clean_Data!H40,"")</f>
        <v>582</v>
      </c>
      <c r="F40" s="2">
        <f ca="1">IF(AND(B40=TRUE(),ISNUMBER(Clean_Data!J40),ISNUMBER(Clean_Data!I40)),MAX(0,Clean_Data!J40-Clean_Data!I40),IF(AND(B40=FALSE(),ISNUMBER(Clean_Data!I40),Clean_Data!I40&lt;TODAY(),Clean_Data!K40&lt;&gt;"Cancelled"),MAX(0,TODAY()-Clean_Data!I40),""))</f>
        <v>576</v>
      </c>
      <c r="G40" s="2" t="str">
        <f>IF(AND(B40=TRUE(),ISNUMBER(Clean_Data!J40),ISNUMBER(Clean_Data!H40)),Clean_Data!J40-Clean_Data!H40,"")</f>
        <v/>
      </c>
      <c r="H40" s="2">
        <f ca="1">IF(AND(ISNUMBER(Clean_Data!J40),ISNUMBER(Clean_Data!H40)),Clean_Data!J40-Clean_Data!H40,IF(ISNUMBER(Clean_Data!H40),TODAY()-Clean_Data!H40,""))</f>
        <v>582</v>
      </c>
      <c r="I40" s="2" t="str">
        <f>IF(ISNUMBER(Clean_Data!I40),TEXT(Clean_Data!I40,"YYYY-MM"),"")</f>
        <v>2024-09</v>
      </c>
      <c r="J40" s="2" t="str">
        <f>IF(ISNUMBER(Clean_Data!H40),TEXT(Clean_Data!H40,"YYYY-MM"),"")</f>
        <v>2024-09</v>
      </c>
      <c r="K40" s="2" t="str">
        <f>IF(ISNUMBER(Clean_Data!J40),TEXT(Clean_Data!J40,"YYYY-MM"),"")</f>
        <v/>
      </c>
      <c r="L40" s="2">
        <f>IF(ISNUMBER(Clean_Data!H40),YEAR(Clean_Data!H40),"")</f>
        <v>2024</v>
      </c>
      <c r="M40" s="2">
        <f>IF(ISNUMBER(Clean_Data!H40),MONTH(Clean_Data!H40),"")</f>
        <v>9</v>
      </c>
      <c r="N40" s="2" t="str">
        <f>IF(ISNUMBER(Clean_Data!H40),TEXT(Clean_Data!H40,"MMMM"),"")</f>
        <v>September</v>
      </c>
      <c r="O40" s="19" t="b">
        <f t="shared" ca="1" si="1"/>
        <v>1</v>
      </c>
      <c r="P40" s="19" t="b">
        <f>AND(OR(Clean_Data!F40="High",Clean_Data!F40="Critical"),C40=TRUE())</f>
        <v>0</v>
      </c>
      <c r="Q40" s="19" t="b">
        <f ca="1">AND(OR(Clean_Data!F40="High",Clean_Data!F40="Critical"),D40=TRUE())</f>
        <v>0</v>
      </c>
      <c r="R40" s="19" t="b">
        <f ca="1">AND(Clean_Data!K40="In Progress",ISNUMBER(Clean_Data!H40),TODAY()-Clean_Data!H40&gt;30)</f>
        <v>0</v>
      </c>
      <c r="S40" s="2" t="str">
        <f>IF(B40=TRUE(),IF(AND(ISNUMBER(Clean_Data!N40),ISNUMBER(Clean_Data!M40),Clean_Data!M40&gt;0),IF(Clean_Data!N40&lt;=Clean_Data!M40*1.2,"Healthy","Over Budget"),"N/A"),IF(AND(Clean_Data!K40="In Progress",ISNUMBER(Clean_Data!L40)),IF(Clean_Data!L40&gt;=0.5,"On Track","Slow"),"N/A"))</f>
        <v>N/A</v>
      </c>
      <c r="T40" s="2" t="str">
        <f>IF(AND(B40=TRUE(),ISNUMBER(Clean_Data!J40),ISNUMBER(Clean_Data!I40)),Clean_Data!J40&lt;=Clean_Data!I40,"")</f>
        <v/>
      </c>
      <c r="U40" s="19" t="b">
        <f>IF(NOT(ISNUMBER(Clean_Data!L40)),FALSE(),AND(Clean_Data!L40&gt;=0,Clean_Data!L40&lt;=1))</f>
        <v>0</v>
      </c>
    </row>
    <row r="41" spans="1:21" x14ac:dyDescent="0.3">
      <c r="A41" s="5" t="str">
        <f>Clean_Data!A41</f>
        <v>TSK-0040</v>
      </c>
      <c r="B41" s="20" t="b">
        <f>Clean_Data!K41="Completed"</f>
        <v>1</v>
      </c>
      <c r="C41" s="20" t="b">
        <f>OR(Clean_Data!K41="Not Started",Clean_Data!K41="In Progress",Clean_Data!K41="On Hold")</f>
        <v>0</v>
      </c>
      <c r="D41" s="20" t="b">
        <f ca="1">AND(ISNUMBER(Clean_Data!I41),Clean_Data!I41&lt;TODAY(),Clean_Data!K41&lt;&gt;"Completed",Clean_Data!K41&lt;&gt;"Cancelled")</f>
        <v>0</v>
      </c>
      <c r="E41" s="5" t="str">
        <f ca="1">IF(AND(ISNUMBER(Clean_Data!H41),Clean_Data!K41&lt;&gt;"Completed",Clean_Data!K41&lt;&gt;"Cancelled"),TODAY()-Clean_Data!H41,"")</f>
        <v/>
      </c>
      <c r="F41" s="5">
        <f ca="1">IF(AND(B41=TRUE(),ISNUMBER(Clean_Data!J41),ISNUMBER(Clean_Data!I41)),MAX(0,Clean_Data!J41-Clean_Data!I41),IF(AND(B41=FALSE(),ISNUMBER(Clean_Data!I41),Clean_Data!I41&lt;TODAY(),Clean_Data!K41&lt;&gt;"Cancelled"),MAX(0,TODAY()-Clean_Data!I41),""))</f>
        <v>0</v>
      </c>
      <c r="G41" s="5">
        <f>IF(AND(B41=TRUE(),ISNUMBER(Clean_Data!J41),ISNUMBER(Clean_Data!H41)),Clean_Data!J41-Clean_Data!H41,"")</f>
        <v>33</v>
      </c>
      <c r="H41" s="5">
        <f ca="1">IF(AND(ISNUMBER(Clean_Data!J41),ISNUMBER(Clean_Data!H41)),Clean_Data!J41-Clean_Data!H41,IF(ISNUMBER(Clean_Data!H41),TODAY()-Clean_Data!H41,""))</f>
        <v>33</v>
      </c>
      <c r="I41" s="5" t="str">
        <f>IF(ISNUMBER(Clean_Data!I41),TEXT(Clean_Data!I41,"YYYY-MM"),"")</f>
        <v>2024-12</v>
      </c>
      <c r="J41" s="5" t="str">
        <f>IF(ISNUMBER(Clean_Data!H41),TEXT(Clean_Data!H41,"YYYY-MM"),"")</f>
        <v>2024-11</v>
      </c>
      <c r="K41" s="5" t="str">
        <f>IF(ISNUMBER(Clean_Data!J41),TEXT(Clean_Data!J41,"YYYY-MM"),"")</f>
        <v>2024-12</v>
      </c>
      <c r="L41" s="5">
        <f>IF(ISNUMBER(Clean_Data!H41),YEAR(Clean_Data!H41),"")</f>
        <v>2024</v>
      </c>
      <c r="M41" s="5">
        <f>IF(ISNUMBER(Clean_Data!H41),MONTH(Clean_Data!H41),"")</f>
        <v>11</v>
      </c>
      <c r="N41" s="5" t="str">
        <f>IF(ISNUMBER(Clean_Data!H41),TEXT(Clean_Data!H41,"MMMM"),"")</f>
        <v>November</v>
      </c>
      <c r="O41" s="20" t="b">
        <f t="shared" ca="1" si="1"/>
        <v>0</v>
      </c>
      <c r="P41" s="20" t="b">
        <f>AND(OR(Clean_Data!F41="High",Clean_Data!F41="Critical"),C41=TRUE())</f>
        <v>0</v>
      </c>
      <c r="Q41" s="20" t="b">
        <f ca="1">AND(OR(Clean_Data!F41="High",Clean_Data!F41="Critical"),D41=TRUE())</f>
        <v>0</v>
      </c>
      <c r="R41" s="20" t="b">
        <f ca="1">AND(Clean_Data!K41="In Progress",ISNUMBER(Clean_Data!H41),TODAY()-Clean_Data!H41&gt;30)</f>
        <v>0</v>
      </c>
      <c r="S41" s="5" t="str">
        <f>IF(B41=TRUE(),IF(AND(ISNUMBER(Clean_Data!N41),ISNUMBER(Clean_Data!M41),Clean_Data!M41&gt;0),IF(Clean_Data!N41&lt;=Clean_Data!M41*1.2,"Healthy","Over Budget"),"N/A"),IF(AND(Clean_Data!K41="In Progress",ISNUMBER(Clean_Data!L41)),IF(Clean_Data!L41&gt;=0.5,"On Track","Slow"),"N/A"))</f>
        <v>Over Budget</v>
      </c>
      <c r="T41" s="20" t="b">
        <f>IF(AND(B41=TRUE(),ISNUMBER(Clean_Data!J41),ISNUMBER(Clean_Data!I41)),Clean_Data!J41&lt;=Clean_Data!I41,"")</f>
        <v>1</v>
      </c>
      <c r="U41" s="20" t="b">
        <f>IF(NOT(ISNUMBER(Clean_Data!L41)),FALSE(),AND(Clean_Data!L41&gt;=0,Clean_Data!L41&lt;=1))</f>
        <v>1</v>
      </c>
    </row>
    <row r="42" spans="1:21" x14ac:dyDescent="0.3">
      <c r="A42" s="2" t="str">
        <f>Clean_Data!A42</f>
        <v>TSK-0041</v>
      </c>
      <c r="B42" s="19" t="b">
        <f>Clean_Data!K42="Completed"</f>
        <v>0</v>
      </c>
      <c r="C42" s="19" t="b">
        <f>OR(Clean_Data!K42="Not Started",Clean_Data!K42="In Progress",Clean_Data!K42="On Hold")</f>
        <v>1</v>
      </c>
      <c r="D42" s="19" t="b">
        <f ca="1">AND(ISNUMBER(Clean_Data!I42),Clean_Data!I42&lt;TODAY(),Clean_Data!K42&lt;&gt;"Completed",Clean_Data!K42&lt;&gt;"Cancelled")</f>
        <v>1</v>
      </c>
      <c r="E42" s="2">
        <f ca="1">IF(AND(ISNUMBER(Clean_Data!H42),Clean_Data!K42&lt;&gt;"Completed",Clean_Data!K42&lt;&gt;"Cancelled"),TODAY()-Clean_Data!H42,"")</f>
        <v>688</v>
      </c>
      <c r="F42" s="2">
        <f ca="1">IF(AND(B42=TRUE(),ISNUMBER(Clean_Data!J42),ISNUMBER(Clean_Data!I42)),MAX(0,Clean_Data!J42-Clean_Data!I42),IF(AND(B42=FALSE(),ISNUMBER(Clean_Data!I42),Clean_Data!I42&lt;TODAY(),Clean_Data!K42&lt;&gt;"Cancelled"),MAX(0,TODAY()-Clean_Data!I42),""))</f>
        <v>635</v>
      </c>
      <c r="G42" s="2" t="str">
        <f>IF(AND(B42=TRUE(),ISNUMBER(Clean_Data!J42),ISNUMBER(Clean_Data!H42)),Clean_Data!J42-Clean_Data!H42,"")</f>
        <v/>
      </c>
      <c r="H42" s="2">
        <f ca="1">IF(AND(ISNUMBER(Clean_Data!J42),ISNUMBER(Clean_Data!H42)),Clean_Data!J42-Clean_Data!H42,IF(ISNUMBER(Clean_Data!H42),TODAY()-Clean_Data!H42,""))</f>
        <v>688</v>
      </c>
      <c r="I42" s="2" t="str">
        <f>IF(ISNUMBER(Clean_Data!I42),TEXT(Clean_Data!I42,"YYYY-MM"),"")</f>
        <v>2024-07</v>
      </c>
      <c r="J42" s="2" t="str">
        <f>IF(ISNUMBER(Clean_Data!H42),TEXT(Clean_Data!H42,"YYYY-MM"),"")</f>
        <v>2024-05</v>
      </c>
      <c r="K42" s="2" t="str">
        <f>IF(ISNUMBER(Clean_Data!J42),TEXT(Clean_Data!J42,"YYYY-MM"),"")</f>
        <v/>
      </c>
      <c r="L42" s="2">
        <f>IF(ISNUMBER(Clean_Data!H42),YEAR(Clean_Data!H42),"")</f>
        <v>2024</v>
      </c>
      <c r="M42" s="2">
        <f>IF(ISNUMBER(Clean_Data!H42),MONTH(Clean_Data!H42),"")</f>
        <v>5</v>
      </c>
      <c r="N42" s="2" t="str">
        <f>IF(ISNUMBER(Clean_Data!H42),TEXT(Clean_Data!H42,"MMMM"),"")</f>
        <v>May</v>
      </c>
      <c r="O42" s="19" t="b">
        <f t="shared" ca="1" si="1"/>
        <v>1</v>
      </c>
      <c r="P42" s="19" t="b">
        <f>AND(OR(Clean_Data!F42="High",Clean_Data!F42="Critical"),C42=TRUE())</f>
        <v>0</v>
      </c>
      <c r="Q42" s="19" t="b">
        <f ca="1">AND(OR(Clean_Data!F42="High",Clean_Data!F42="Critical"),D42=TRUE())</f>
        <v>0</v>
      </c>
      <c r="R42" s="19" t="b">
        <f ca="1">AND(Clean_Data!K42="In Progress",ISNUMBER(Clean_Data!H42),TODAY()-Clean_Data!H42&gt;30)</f>
        <v>0</v>
      </c>
      <c r="S42" s="2" t="str">
        <f>IF(B42=TRUE(),IF(AND(ISNUMBER(Clean_Data!N42),ISNUMBER(Clean_Data!M42),Clean_Data!M42&gt;0),IF(Clean_Data!N42&lt;=Clean_Data!M42*1.2,"Healthy","Over Budget"),"N/A"),IF(AND(Clean_Data!K42="In Progress",ISNUMBER(Clean_Data!L42)),IF(Clean_Data!L42&gt;=0.5,"On Track","Slow"),"N/A"))</f>
        <v>N/A</v>
      </c>
      <c r="T42" s="2" t="str">
        <f>IF(AND(B42=TRUE(),ISNUMBER(Clean_Data!J42),ISNUMBER(Clean_Data!I42)),Clean_Data!J42&lt;=Clean_Data!I42,"")</f>
        <v/>
      </c>
      <c r="U42" s="19" t="b">
        <f>IF(NOT(ISNUMBER(Clean_Data!L42)),FALSE(),AND(Clean_Data!L42&gt;=0,Clean_Data!L42&lt;=1))</f>
        <v>1</v>
      </c>
    </row>
    <row r="43" spans="1:21" x14ac:dyDescent="0.3">
      <c r="A43" s="5" t="str">
        <f>Clean_Data!A43</f>
        <v>TSK-0042</v>
      </c>
      <c r="B43" s="20" t="b">
        <f>Clean_Data!K43="Completed"</f>
        <v>0</v>
      </c>
      <c r="C43" s="20" t="b">
        <f>OR(Clean_Data!K43="Not Started",Clean_Data!K43="In Progress",Clean_Data!K43="On Hold")</f>
        <v>1</v>
      </c>
      <c r="D43" s="20" t="b">
        <f ca="1">AND(ISNUMBER(Clean_Data!I43),Clean_Data!I43&lt;TODAY(),Clean_Data!K43&lt;&gt;"Completed",Clean_Data!K43&lt;&gt;"Cancelled")</f>
        <v>1</v>
      </c>
      <c r="E43" s="5">
        <f ca="1">IF(AND(ISNUMBER(Clean_Data!H43),Clean_Data!K43&lt;&gt;"Completed",Clean_Data!K43&lt;&gt;"Cancelled"),TODAY()-Clean_Data!H43,"")</f>
        <v>444</v>
      </c>
      <c r="F43" s="5">
        <f ca="1">IF(AND(B43=TRUE(),ISNUMBER(Clean_Data!J43),ISNUMBER(Clean_Data!I43)),MAX(0,Clean_Data!J43-Clean_Data!I43),IF(AND(B43=FALSE(),ISNUMBER(Clean_Data!I43),Clean_Data!I43&lt;TODAY(),Clean_Data!K43&lt;&gt;"Cancelled"),MAX(0,TODAY()-Clean_Data!I43),""))</f>
        <v>438</v>
      </c>
      <c r="G43" s="5" t="str">
        <f>IF(AND(B43=TRUE(),ISNUMBER(Clean_Data!J43),ISNUMBER(Clean_Data!H43)),Clean_Data!J43-Clean_Data!H43,"")</f>
        <v/>
      </c>
      <c r="H43" s="5">
        <f ca="1">IF(AND(ISNUMBER(Clean_Data!J43),ISNUMBER(Clean_Data!H43)),Clean_Data!J43-Clean_Data!H43,IF(ISNUMBER(Clean_Data!H43),TODAY()-Clean_Data!H43,""))</f>
        <v>444</v>
      </c>
      <c r="I43" s="5" t="str">
        <f>IF(ISNUMBER(Clean_Data!I43),TEXT(Clean_Data!I43,"YYYY-MM"),"")</f>
        <v>2025-01</v>
      </c>
      <c r="J43" s="5" t="str">
        <f>IF(ISNUMBER(Clean_Data!H43),TEXT(Clean_Data!H43,"YYYY-MM"),"")</f>
        <v>2025-01</v>
      </c>
      <c r="K43" s="5" t="str">
        <f>IF(ISNUMBER(Clean_Data!J43),TEXT(Clean_Data!J43,"YYYY-MM"),"")</f>
        <v/>
      </c>
      <c r="L43" s="5">
        <f>IF(ISNUMBER(Clean_Data!H43),YEAR(Clean_Data!H43),"")</f>
        <v>2025</v>
      </c>
      <c r="M43" s="5">
        <f>IF(ISNUMBER(Clean_Data!H43),MONTH(Clean_Data!H43),"")</f>
        <v>1</v>
      </c>
      <c r="N43" s="5" t="str">
        <f>IF(ISNUMBER(Clean_Data!H43),TEXT(Clean_Data!H43,"MMMM"),"")</f>
        <v>January</v>
      </c>
      <c r="O43" s="20" t="b">
        <f t="shared" ca="1" si="1"/>
        <v>1</v>
      </c>
      <c r="P43" s="20" t="b">
        <f>AND(OR(Clean_Data!F43="High",Clean_Data!F43="Critical"),C43=TRUE())</f>
        <v>1</v>
      </c>
      <c r="Q43" s="20" t="b">
        <f ca="1">AND(OR(Clean_Data!F43="High",Clean_Data!F43="Critical"),D43=TRUE())</f>
        <v>1</v>
      </c>
      <c r="R43" s="20" t="b">
        <f ca="1">AND(Clean_Data!K43="In Progress",ISNUMBER(Clean_Data!H43),TODAY()-Clean_Data!H43&gt;30)</f>
        <v>1</v>
      </c>
      <c r="S43" s="5" t="str">
        <f>IF(B43=TRUE(),IF(AND(ISNUMBER(Clean_Data!N43),ISNUMBER(Clean_Data!M43),Clean_Data!M43&gt;0),IF(Clean_Data!N43&lt;=Clean_Data!M43*1.2,"Healthy","Over Budget"),"N/A"),IF(AND(Clean_Data!K43="In Progress",ISNUMBER(Clean_Data!L43)),IF(Clean_Data!L43&gt;=0.5,"On Track","Slow"),"N/A"))</f>
        <v>On Track</v>
      </c>
      <c r="T43" s="5" t="str">
        <f>IF(AND(B43=TRUE(),ISNUMBER(Clean_Data!J43),ISNUMBER(Clean_Data!I43)),Clean_Data!J43&lt;=Clean_Data!I43,"")</f>
        <v/>
      </c>
      <c r="U43" s="20" t="b">
        <f>IF(NOT(ISNUMBER(Clean_Data!L43)),FALSE(),AND(Clean_Data!L43&gt;=0,Clean_Data!L43&lt;=1))</f>
        <v>1</v>
      </c>
    </row>
    <row r="44" spans="1:21" x14ac:dyDescent="0.3">
      <c r="A44" s="2" t="str">
        <f>Clean_Data!A44</f>
        <v>TSK-0043</v>
      </c>
      <c r="B44" s="19" t="b">
        <f>Clean_Data!K44="Completed"</f>
        <v>1</v>
      </c>
      <c r="C44" s="19" t="b">
        <f>OR(Clean_Data!K44="Not Started",Clean_Data!K44="In Progress",Clean_Data!K44="On Hold")</f>
        <v>0</v>
      </c>
      <c r="D44" s="19" t="b">
        <f ca="1">AND(ISNUMBER(Clean_Data!I44),Clean_Data!I44&lt;TODAY(),Clean_Data!K44&lt;&gt;"Completed",Clean_Data!K44&lt;&gt;"Cancelled")</f>
        <v>0</v>
      </c>
      <c r="E44" s="2" t="str">
        <f ca="1">IF(AND(ISNUMBER(Clean_Data!H44),Clean_Data!K44&lt;&gt;"Completed",Clean_Data!K44&lt;&gt;"Cancelled"),TODAY()-Clean_Data!H44,"")</f>
        <v/>
      </c>
      <c r="F44" s="2">
        <f ca="1">IF(AND(B44=TRUE(),ISNUMBER(Clean_Data!J44),ISNUMBER(Clean_Data!I44)),MAX(0,Clean_Data!J44-Clean_Data!I44),IF(AND(B44=FALSE(),ISNUMBER(Clean_Data!I44),Clean_Data!I44&lt;TODAY(),Clean_Data!K44&lt;&gt;"Cancelled"),MAX(0,TODAY()-Clean_Data!I44),""))</f>
        <v>0</v>
      </c>
      <c r="G44" s="2">
        <f>IF(AND(B44=TRUE(),ISNUMBER(Clean_Data!J44),ISNUMBER(Clean_Data!H44)),Clean_Data!J44-Clean_Data!H44,"")</f>
        <v>10</v>
      </c>
      <c r="H44" s="2">
        <f ca="1">IF(AND(ISNUMBER(Clean_Data!J44),ISNUMBER(Clean_Data!H44)),Clean_Data!J44-Clean_Data!H44,IF(ISNUMBER(Clean_Data!H44),TODAY()-Clean_Data!H44,""))</f>
        <v>10</v>
      </c>
      <c r="I44" s="2" t="str">
        <f>IF(ISNUMBER(Clean_Data!I44),TEXT(Clean_Data!I44,"YYYY-MM"),"")</f>
        <v>2024-06</v>
      </c>
      <c r="J44" s="2" t="str">
        <f>IF(ISNUMBER(Clean_Data!H44),TEXT(Clean_Data!H44,"YYYY-MM"),"")</f>
        <v>2024-06</v>
      </c>
      <c r="K44" s="2" t="str">
        <f>IF(ISNUMBER(Clean_Data!J44),TEXT(Clean_Data!J44,"YYYY-MM"),"")</f>
        <v>2024-06</v>
      </c>
      <c r="L44" s="2">
        <f>IF(ISNUMBER(Clean_Data!H44),YEAR(Clean_Data!H44),"")</f>
        <v>2024</v>
      </c>
      <c r="M44" s="2">
        <f>IF(ISNUMBER(Clean_Data!H44),MONTH(Clean_Data!H44),"")</f>
        <v>6</v>
      </c>
      <c r="N44" s="2" t="str">
        <f>IF(ISNUMBER(Clean_Data!H44),TEXT(Clean_Data!H44,"MMMM"),"")</f>
        <v>June</v>
      </c>
      <c r="O44" s="19" t="b">
        <f t="shared" ca="1" si="1"/>
        <v>0</v>
      </c>
      <c r="P44" s="19" t="b">
        <f>AND(OR(Clean_Data!F44="High",Clean_Data!F44="Critical"),C44=TRUE())</f>
        <v>0</v>
      </c>
      <c r="Q44" s="19" t="b">
        <f ca="1">AND(OR(Clean_Data!F44="High",Clean_Data!F44="Critical"),D44=TRUE())</f>
        <v>0</v>
      </c>
      <c r="R44" s="19" t="b">
        <f ca="1">AND(Clean_Data!K44="In Progress",ISNUMBER(Clean_Data!H44),TODAY()-Clean_Data!H44&gt;30)</f>
        <v>0</v>
      </c>
      <c r="S44" s="2" t="str">
        <f>IF(B44=TRUE(),IF(AND(ISNUMBER(Clean_Data!N44),ISNUMBER(Clean_Data!M44),Clean_Data!M44&gt;0),IF(Clean_Data!N44&lt;=Clean_Data!M44*1.2,"Healthy","Over Budget"),"N/A"),IF(AND(Clean_Data!K44="In Progress",ISNUMBER(Clean_Data!L44)),IF(Clean_Data!L44&gt;=0.5,"On Track","Slow"),"N/A"))</f>
        <v>Over Budget</v>
      </c>
      <c r="T44" s="19" t="b">
        <f>IF(AND(B44=TRUE(),ISNUMBER(Clean_Data!J44),ISNUMBER(Clean_Data!I44)),Clean_Data!J44&lt;=Clean_Data!I44,"")</f>
        <v>1</v>
      </c>
      <c r="U44" s="19" t="b">
        <f>IF(NOT(ISNUMBER(Clean_Data!L44)),FALSE(),AND(Clean_Data!L44&gt;=0,Clean_Data!L44&lt;=1))</f>
        <v>1</v>
      </c>
    </row>
    <row r="45" spans="1:21" x14ac:dyDescent="0.3">
      <c r="A45" s="5" t="str">
        <f>Clean_Data!A45</f>
        <v>TSK-0044</v>
      </c>
      <c r="B45" s="20" t="b">
        <f>Clean_Data!K45="Completed"</f>
        <v>1</v>
      </c>
      <c r="C45" s="20" t="b">
        <f>OR(Clean_Data!K45="Not Started",Clean_Data!K45="In Progress",Clean_Data!K45="On Hold")</f>
        <v>0</v>
      </c>
      <c r="D45" s="20" t="b">
        <f ca="1">AND(ISNUMBER(Clean_Data!I45),Clean_Data!I45&lt;TODAY(),Clean_Data!K45&lt;&gt;"Completed",Clean_Data!K45&lt;&gt;"Cancelled")</f>
        <v>0</v>
      </c>
      <c r="E45" s="5" t="str">
        <f ca="1">IF(AND(ISNUMBER(Clean_Data!H45),Clean_Data!K45&lt;&gt;"Completed",Clean_Data!K45&lt;&gt;"Cancelled"),TODAY()-Clean_Data!H45,"")</f>
        <v/>
      </c>
      <c r="F45" s="5">
        <f ca="1">IF(AND(B45=TRUE(),ISNUMBER(Clean_Data!J45),ISNUMBER(Clean_Data!I45)),MAX(0,Clean_Data!J45-Clean_Data!I45),IF(AND(B45=FALSE(),ISNUMBER(Clean_Data!I45),Clean_Data!I45&lt;TODAY(),Clean_Data!K45&lt;&gt;"Cancelled"),MAX(0,TODAY()-Clean_Data!I45),""))</f>
        <v>1</v>
      </c>
      <c r="G45" s="5">
        <f>IF(AND(B45=TRUE(),ISNUMBER(Clean_Data!J45),ISNUMBER(Clean_Data!H45)),Clean_Data!J45-Clean_Data!H45,"")</f>
        <v>56</v>
      </c>
      <c r="H45" s="5">
        <f ca="1">IF(AND(ISNUMBER(Clean_Data!J45),ISNUMBER(Clean_Data!H45)),Clean_Data!J45-Clean_Data!H45,IF(ISNUMBER(Clean_Data!H45),TODAY()-Clean_Data!H45,""))</f>
        <v>56</v>
      </c>
      <c r="I45" s="5" t="str">
        <f>IF(ISNUMBER(Clean_Data!I45),TEXT(Clean_Data!I45,"YYYY-MM"),"")</f>
        <v>2024-12</v>
      </c>
      <c r="J45" s="5" t="str">
        <f>IF(ISNUMBER(Clean_Data!H45),TEXT(Clean_Data!H45,"YYYY-MM"),"")</f>
        <v>2024-10</v>
      </c>
      <c r="K45" s="5" t="str">
        <f>IF(ISNUMBER(Clean_Data!J45),TEXT(Clean_Data!J45,"YYYY-MM"),"")</f>
        <v>2024-12</v>
      </c>
      <c r="L45" s="5">
        <f>IF(ISNUMBER(Clean_Data!H45),YEAR(Clean_Data!H45),"")</f>
        <v>2024</v>
      </c>
      <c r="M45" s="5">
        <f>IF(ISNUMBER(Clean_Data!H45),MONTH(Clean_Data!H45),"")</f>
        <v>10</v>
      </c>
      <c r="N45" s="5" t="str">
        <f>IF(ISNUMBER(Clean_Data!H45),TEXT(Clean_Data!H45,"MMMM"),"")</f>
        <v>October</v>
      </c>
      <c r="O45" s="20" t="b">
        <f t="shared" ca="1" si="1"/>
        <v>0</v>
      </c>
      <c r="P45" s="20" t="b">
        <f>AND(OR(Clean_Data!F45="High",Clean_Data!F45="Critical"),C45=TRUE())</f>
        <v>0</v>
      </c>
      <c r="Q45" s="20" t="b">
        <f ca="1">AND(OR(Clean_Data!F45="High",Clean_Data!F45="Critical"),D45=TRUE())</f>
        <v>0</v>
      </c>
      <c r="R45" s="20" t="b">
        <f ca="1">AND(Clean_Data!K45="In Progress",ISNUMBER(Clean_Data!H45),TODAY()-Clean_Data!H45&gt;30)</f>
        <v>0</v>
      </c>
      <c r="S45" s="5" t="str">
        <f>IF(B45=TRUE(),IF(AND(ISNUMBER(Clean_Data!N45),ISNUMBER(Clean_Data!M45),Clean_Data!M45&gt;0),IF(Clean_Data!N45&lt;=Clean_Data!M45*1.2,"Healthy","Over Budget"),"N/A"),IF(AND(Clean_Data!K45="In Progress",ISNUMBER(Clean_Data!L45)),IF(Clean_Data!L45&gt;=0.5,"On Track","Slow"),"N/A"))</f>
        <v>Healthy</v>
      </c>
      <c r="T45" s="20" t="b">
        <f>IF(AND(B45=TRUE(),ISNUMBER(Clean_Data!J45),ISNUMBER(Clean_Data!I45)),Clean_Data!J45&lt;=Clean_Data!I45,"")</f>
        <v>0</v>
      </c>
      <c r="U45" s="20" t="b">
        <f>IF(NOT(ISNUMBER(Clean_Data!L45)),FALSE(),AND(Clean_Data!L45&gt;=0,Clean_Data!L45&lt;=1))</f>
        <v>1</v>
      </c>
    </row>
    <row r="46" spans="1:21" x14ac:dyDescent="0.3">
      <c r="A46" s="2" t="str">
        <f>Clean_Data!A46</f>
        <v>TSK-0045</v>
      </c>
      <c r="B46" s="19" t="b">
        <f>Clean_Data!K46="Completed"</f>
        <v>0</v>
      </c>
      <c r="C46" s="19" t="b">
        <f>OR(Clean_Data!K46="Not Started",Clean_Data!K46="In Progress",Clean_Data!K46="On Hold")</f>
        <v>1</v>
      </c>
      <c r="D46" s="19" t="b">
        <f ca="1">AND(ISNUMBER(Clean_Data!I46),Clean_Data!I46&lt;TODAY(),Clean_Data!K46&lt;&gt;"Completed",Clean_Data!K46&lt;&gt;"Cancelled")</f>
        <v>1</v>
      </c>
      <c r="E46" s="2">
        <f ca="1">IF(AND(ISNUMBER(Clean_Data!H46),Clean_Data!K46&lt;&gt;"Completed",Clean_Data!K46&lt;&gt;"Cancelled"),TODAY()-Clean_Data!H46,"")</f>
        <v>468</v>
      </c>
      <c r="F46" s="2">
        <f ca="1">IF(AND(B46=TRUE(),ISNUMBER(Clean_Data!J46),ISNUMBER(Clean_Data!I46)),MAX(0,Clean_Data!J46-Clean_Data!I46),IF(AND(B46=FALSE(),ISNUMBER(Clean_Data!I46),Clean_Data!I46&lt;TODAY(),Clean_Data!K46&lt;&gt;"Cancelled"),MAX(0,TODAY()-Clean_Data!I46),""))</f>
        <v>454</v>
      </c>
      <c r="G46" s="2" t="str">
        <f>IF(AND(B46=TRUE(),ISNUMBER(Clean_Data!J46),ISNUMBER(Clean_Data!H46)),Clean_Data!J46-Clean_Data!H46,"")</f>
        <v/>
      </c>
      <c r="H46" s="2">
        <f ca="1">IF(AND(ISNUMBER(Clean_Data!J46),ISNUMBER(Clean_Data!H46)),Clean_Data!J46-Clean_Data!H46,IF(ISNUMBER(Clean_Data!H46),TODAY()-Clean_Data!H46,""))</f>
        <v>468</v>
      </c>
      <c r="I46" s="2" t="str">
        <f>IF(ISNUMBER(Clean_Data!I46),TEXT(Clean_Data!I46,"YYYY-MM"),"")</f>
        <v>2025-01</v>
      </c>
      <c r="J46" s="2" t="str">
        <f>IF(ISNUMBER(Clean_Data!H46),TEXT(Clean_Data!H46,"YYYY-MM"),"")</f>
        <v>2025-01</v>
      </c>
      <c r="K46" s="2" t="str">
        <f>IF(ISNUMBER(Clean_Data!J46),TEXT(Clean_Data!J46,"YYYY-MM"),"")</f>
        <v/>
      </c>
      <c r="L46" s="2">
        <f>IF(ISNUMBER(Clean_Data!H46),YEAR(Clean_Data!H46),"")</f>
        <v>2025</v>
      </c>
      <c r="M46" s="2">
        <f>IF(ISNUMBER(Clean_Data!H46),MONTH(Clean_Data!H46),"")</f>
        <v>1</v>
      </c>
      <c r="N46" s="2" t="str">
        <f>IF(ISNUMBER(Clean_Data!H46),TEXT(Clean_Data!H46,"MMMM"),"")</f>
        <v>January</v>
      </c>
      <c r="O46" s="19" t="b">
        <f t="shared" ca="1" si="1"/>
        <v>1</v>
      </c>
      <c r="P46" s="19" t="b">
        <f>AND(OR(Clean_Data!F46="High",Clean_Data!F46="Critical"),C46=TRUE())</f>
        <v>0</v>
      </c>
      <c r="Q46" s="19" t="b">
        <f ca="1">AND(OR(Clean_Data!F46="High",Clean_Data!F46="Critical"),D46=TRUE())</f>
        <v>0</v>
      </c>
      <c r="R46" s="19" t="b">
        <f ca="1">AND(Clean_Data!K46="In Progress",ISNUMBER(Clean_Data!H46),TODAY()-Clean_Data!H46&gt;30)</f>
        <v>0</v>
      </c>
      <c r="S46" s="2" t="str">
        <f>IF(B46=TRUE(),IF(AND(ISNUMBER(Clean_Data!N46),ISNUMBER(Clean_Data!M46),Clean_Data!M46&gt;0),IF(Clean_Data!N46&lt;=Clean_Data!M46*1.2,"Healthy","Over Budget"),"N/A"),IF(AND(Clean_Data!K46="In Progress",ISNUMBER(Clean_Data!L46)),IF(Clean_Data!L46&gt;=0.5,"On Track","Slow"),"N/A"))</f>
        <v>N/A</v>
      </c>
      <c r="T46" s="2" t="str">
        <f>IF(AND(B46=TRUE(),ISNUMBER(Clean_Data!J46),ISNUMBER(Clean_Data!I46)),Clean_Data!J46&lt;=Clean_Data!I46,"")</f>
        <v/>
      </c>
      <c r="U46" s="19" t="b">
        <f>IF(NOT(ISNUMBER(Clean_Data!L46)),FALSE(),AND(Clean_Data!L46&gt;=0,Clean_Data!L46&lt;=1))</f>
        <v>0</v>
      </c>
    </row>
    <row r="47" spans="1:21" x14ac:dyDescent="0.3">
      <c r="A47" s="5" t="str">
        <f>Clean_Data!A47</f>
        <v>TSK-0046</v>
      </c>
      <c r="B47" s="20" t="b">
        <f>Clean_Data!K47="Completed"</f>
        <v>0</v>
      </c>
      <c r="C47" s="20" t="b">
        <f>OR(Clean_Data!K47="Not Started",Clean_Data!K47="In Progress",Clean_Data!K47="On Hold")</f>
        <v>1</v>
      </c>
      <c r="D47" s="20" t="b">
        <f ca="1">AND(ISNUMBER(Clean_Data!I47),Clean_Data!I47&lt;TODAY(),Clean_Data!K47&lt;&gt;"Completed",Clean_Data!K47&lt;&gt;"Cancelled")</f>
        <v>1</v>
      </c>
      <c r="E47" s="5">
        <f ca="1">IF(AND(ISNUMBER(Clean_Data!H47),Clean_Data!K47&lt;&gt;"Completed",Clean_Data!K47&lt;&gt;"Cancelled"),TODAY()-Clean_Data!H47,"")</f>
        <v>665</v>
      </c>
      <c r="F47" s="5">
        <f ca="1">IF(AND(B47=TRUE(),ISNUMBER(Clean_Data!J47),ISNUMBER(Clean_Data!I47)),MAX(0,Clean_Data!J47-Clean_Data!I47),IF(AND(B47=FALSE(),ISNUMBER(Clean_Data!I47),Clean_Data!I47&lt;TODAY(),Clean_Data!K47&lt;&gt;"Cancelled"),MAX(0,TODAY()-Clean_Data!I47),""))</f>
        <v>606</v>
      </c>
      <c r="G47" s="5" t="str">
        <f>IF(AND(B47=TRUE(),ISNUMBER(Clean_Data!J47),ISNUMBER(Clean_Data!H47)),Clean_Data!J47-Clean_Data!H47,"")</f>
        <v/>
      </c>
      <c r="H47" s="5">
        <f ca="1">IF(AND(ISNUMBER(Clean_Data!J47),ISNUMBER(Clean_Data!H47)),Clean_Data!J47-Clean_Data!H47,IF(ISNUMBER(Clean_Data!H47),TODAY()-Clean_Data!H47,""))</f>
        <v>665</v>
      </c>
      <c r="I47" s="5" t="str">
        <f>IF(ISNUMBER(Clean_Data!I47),TEXT(Clean_Data!I47,"YYYY-MM"),"")</f>
        <v>2024-08</v>
      </c>
      <c r="J47" s="5" t="str">
        <f>IF(ISNUMBER(Clean_Data!H47),TEXT(Clean_Data!H47,"YYYY-MM"),"")</f>
        <v>2024-06</v>
      </c>
      <c r="K47" s="5" t="str">
        <f>IF(ISNUMBER(Clean_Data!J47),TEXT(Clean_Data!J47,"YYYY-MM"),"")</f>
        <v/>
      </c>
      <c r="L47" s="5">
        <f>IF(ISNUMBER(Clean_Data!H47),YEAR(Clean_Data!H47),"")</f>
        <v>2024</v>
      </c>
      <c r="M47" s="5">
        <f>IF(ISNUMBER(Clean_Data!H47),MONTH(Clean_Data!H47),"")</f>
        <v>6</v>
      </c>
      <c r="N47" s="5" t="str">
        <f>IF(ISNUMBER(Clean_Data!H47),TEXT(Clean_Data!H47,"MMMM"),"")</f>
        <v>June</v>
      </c>
      <c r="O47" s="20" t="b">
        <f t="shared" ca="1" si="1"/>
        <v>1</v>
      </c>
      <c r="P47" s="20" t="b">
        <f>AND(OR(Clean_Data!F47="High",Clean_Data!F47="Critical"),C47=TRUE())</f>
        <v>1</v>
      </c>
      <c r="Q47" s="20" t="b">
        <f ca="1">AND(OR(Clean_Data!F47="High",Clean_Data!F47="Critical"),D47=TRUE())</f>
        <v>1</v>
      </c>
      <c r="R47" s="20" t="b">
        <f ca="1">AND(Clean_Data!K47="In Progress",ISNUMBER(Clean_Data!H47),TODAY()-Clean_Data!H47&gt;30)</f>
        <v>1</v>
      </c>
      <c r="S47" s="5" t="str">
        <f>IF(B47=TRUE(),IF(AND(ISNUMBER(Clean_Data!N47),ISNUMBER(Clean_Data!M47),Clean_Data!M47&gt;0),IF(Clean_Data!N47&lt;=Clean_Data!M47*1.2,"Healthy","Over Budget"),"N/A"),IF(AND(Clean_Data!K47="In Progress",ISNUMBER(Clean_Data!L47)),IF(Clean_Data!L47&gt;=0.5,"On Track","Slow"),"N/A"))</f>
        <v>Slow</v>
      </c>
      <c r="T47" s="5" t="str">
        <f>IF(AND(B47=TRUE(),ISNUMBER(Clean_Data!J47),ISNUMBER(Clean_Data!I47)),Clean_Data!J47&lt;=Clean_Data!I47,"")</f>
        <v/>
      </c>
      <c r="U47" s="20" t="b">
        <f>IF(NOT(ISNUMBER(Clean_Data!L47)),FALSE(),AND(Clean_Data!L47&gt;=0,Clean_Data!L47&lt;=1))</f>
        <v>1</v>
      </c>
    </row>
    <row r="48" spans="1:21" x14ac:dyDescent="0.3">
      <c r="A48" s="2" t="str">
        <f>Clean_Data!A48</f>
        <v>TSK-0047</v>
      </c>
      <c r="B48" s="19" t="b">
        <f>Clean_Data!K48="Completed"</f>
        <v>0</v>
      </c>
      <c r="C48" s="19" t="b">
        <f>OR(Clean_Data!K48="Not Started",Clean_Data!K48="In Progress",Clean_Data!K48="On Hold")</f>
        <v>1</v>
      </c>
      <c r="D48" s="19" t="b">
        <f ca="1">AND(ISNUMBER(Clean_Data!I48),Clean_Data!I48&lt;TODAY(),Clean_Data!K48&lt;&gt;"Completed",Clean_Data!K48&lt;&gt;"Cancelled")</f>
        <v>1</v>
      </c>
      <c r="E48" s="2">
        <f ca="1">IF(AND(ISNUMBER(Clean_Data!H48),Clean_Data!K48&lt;&gt;"Completed",Clean_Data!K48&lt;&gt;"Cancelled"),TODAY()-Clean_Data!H48,"")</f>
        <v>698</v>
      </c>
      <c r="F48" s="2">
        <f ca="1">IF(AND(B48=TRUE(),ISNUMBER(Clean_Data!J48),ISNUMBER(Clean_Data!I48)),MAX(0,Clean_Data!J48-Clean_Data!I48),IF(AND(B48=FALSE(),ISNUMBER(Clean_Data!I48),Clean_Data!I48&lt;TODAY(),Clean_Data!K48&lt;&gt;"Cancelled"),MAX(0,TODAY()-Clean_Data!I48),""))</f>
        <v>672</v>
      </c>
      <c r="G48" s="2" t="str">
        <f>IF(AND(B48=TRUE(),ISNUMBER(Clean_Data!J48),ISNUMBER(Clean_Data!H48)),Clean_Data!J48-Clean_Data!H48,"")</f>
        <v/>
      </c>
      <c r="H48" s="2">
        <f ca="1">IF(AND(ISNUMBER(Clean_Data!J48),ISNUMBER(Clean_Data!H48)),Clean_Data!J48-Clean_Data!H48,IF(ISNUMBER(Clean_Data!H48),TODAY()-Clean_Data!H48,""))</f>
        <v>698</v>
      </c>
      <c r="I48" s="2" t="str">
        <f>IF(ISNUMBER(Clean_Data!I48),TEXT(Clean_Data!I48,"YYYY-MM"),"")</f>
        <v>2024-06</v>
      </c>
      <c r="J48" s="2" t="str">
        <f>IF(ISNUMBER(Clean_Data!H48),TEXT(Clean_Data!H48,"YYYY-MM"),"")</f>
        <v>2024-05</v>
      </c>
      <c r="K48" s="2" t="str">
        <f>IF(ISNUMBER(Clean_Data!J48),TEXT(Clean_Data!J48,"YYYY-MM"),"")</f>
        <v/>
      </c>
      <c r="L48" s="2">
        <f>IF(ISNUMBER(Clean_Data!H48),YEAR(Clean_Data!H48),"")</f>
        <v>2024</v>
      </c>
      <c r="M48" s="2">
        <f>IF(ISNUMBER(Clean_Data!H48),MONTH(Clean_Data!H48),"")</f>
        <v>5</v>
      </c>
      <c r="N48" s="2" t="str">
        <f>IF(ISNUMBER(Clean_Data!H48),TEXT(Clean_Data!H48,"MMMM"),"")</f>
        <v>May</v>
      </c>
      <c r="O48" s="19" t="b">
        <f t="shared" ca="1" si="1"/>
        <v>1</v>
      </c>
      <c r="P48" s="19" t="b">
        <f>AND(OR(Clean_Data!F48="High",Clean_Data!F48="Critical"),C48=TRUE())</f>
        <v>1</v>
      </c>
      <c r="Q48" s="19" t="b">
        <f ca="1">AND(OR(Clean_Data!F48="High",Clean_Data!F48="Critical"),D48=TRUE())</f>
        <v>1</v>
      </c>
      <c r="R48" s="19" t="b">
        <f ca="1">AND(Clean_Data!K48="In Progress",ISNUMBER(Clean_Data!H48),TODAY()-Clean_Data!H48&gt;30)</f>
        <v>0</v>
      </c>
      <c r="S48" s="2" t="str">
        <f>IF(B48=TRUE(),IF(AND(ISNUMBER(Clean_Data!N48),ISNUMBER(Clean_Data!M48),Clean_Data!M48&gt;0),IF(Clean_Data!N48&lt;=Clean_Data!M48*1.2,"Healthy","Over Budget"),"N/A"),IF(AND(Clean_Data!K48="In Progress",ISNUMBER(Clean_Data!L48)),IF(Clean_Data!L48&gt;=0.5,"On Track","Slow"),"N/A"))</f>
        <v>N/A</v>
      </c>
      <c r="T48" s="2" t="str">
        <f>IF(AND(B48=TRUE(),ISNUMBER(Clean_Data!J48),ISNUMBER(Clean_Data!I48)),Clean_Data!J48&lt;=Clean_Data!I48,"")</f>
        <v/>
      </c>
      <c r="U48" s="19" t="b">
        <f>IF(NOT(ISNUMBER(Clean_Data!L48)),FALSE(),AND(Clean_Data!L48&gt;=0,Clean_Data!L48&lt;=1))</f>
        <v>0</v>
      </c>
    </row>
    <row r="49" spans="1:21" x14ac:dyDescent="0.3">
      <c r="A49" s="5" t="str">
        <f>Clean_Data!A49</f>
        <v>TSK-0048</v>
      </c>
      <c r="B49" s="20" t="b">
        <f>Clean_Data!K49="Completed"</f>
        <v>0</v>
      </c>
      <c r="C49" s="20" t="b">
        <f>OR(Clean_Data!K49="Not Started",Clean_Data!K49="In Progress",Clean_Data!K49="On Hold")</f>
        <v>1</v>
      </c>
      <c r="D49" s="20" t="b">
        <f ca="1">AND(ISNUMBER(Clean_Data!I49),Clean_Data!I49&lt;TODAY(),Clean_Data!K49&lt;&gt;"Completed",Clean_Data!K49&lt;&gt;"Cancelled")</f>
        <v>1</v>
      </c>
      <c r="E49" s="5">
        <f ca="1">IF(AND(ISNUMBER(Clean_Data!H49),Clean_Data!K49&lt;&gt;"Completed",Clean_Data!K49&lt;&gt;"Cancelled"),TODAY()-Clean_Data!H49,"")</f>
        <v>580</v>
      </c>
      <c r="F49" s="5">
        <f ca="1">IF(AND(B49=TRUE(),ISNUMBER(Clean_Data!J49),ISNUMBER(Clean_Data!I49)),MAX(0,Clean_Data!J49-Clean_Data!I49),IF(AND(B49=FALSE(),ISNUMBER(Clean_Data!I49),Clean_Data!I49&lt;TODAY(),Clean_Data!K49&lt;&gt;"Cancelled"),MAX(0,TODAY()-Clean_Data!I49),""))</f>
        <v>540</v>
      </c>
      <c r="G49" s="5" t="str">
        <f>IF(AND(B49=TRUE(),ISNUMBER(Clean_Data!J49),ISNUMBER(Clean_Data!H49)),Clean_Data!J49-Clean_Data!H49,"")</f>
        <v/>
      </c>
      <c r="H49" s="5">
        <f ca="1">IF(AND(ISNUMBER(Clean_Data!J49),ISNUMBER(Clean_Data!H49)),Clean_Data!J49-Clean_Data!H49,IF(ISNUMBER(Clean_Data!H49),TODAY()-Clean_Data!H49,""))</f>
        <v>580</v>
      </c>
      <c r="I49" s="5" t="str">
        <f>IF(ISNUMBER(Clean_Data!I49),TEXT(Clean_Data!I49,"YYYY-MM"),"")</f>
        <v>2024-10</v>
      </c>
      <c r="J49" s="5" t="str">
        <f>IF(ISNUMBER(Clean_Data!H49),TEXT(Clean_Data!H49,"YYYY-MM"),"")</f>
        <v>2024-09</v>
      </c>
      <c r="K49" s="5" t="str">
        <f>IF(ISNUMBER(Clean_Data!J49),TEXT(Clean_Data!J49,"YYYY-MM"),"")</f>
        <v/>
      </c>
      <c r="L49" s="5">
        <f>IF(ISNUMBER(Clean_Data!H49),YEAR(Clean_Data!H49),"")</f>
        <v>2024</v>
      </c>
      <c r="M49" s="5">
        <f>IF(ISNUMBER(Clean_Data!H49),MONTH(Clean_Data!H49),"")</f>
        <v>9</v>
      </c>
      <c r="N49" s="5" t="str">
        <f>IF(ISNUMBER(Clean_Data!H49),TEXT(Clean_Data!H49,"MMMM"),"")</f>
        <v>September</v>
      </c>
      <c r="O49" s="20" t="b">
        <f t="shared" ca="1" si="1"/>
        <v>1</v>
      </c>
      <c r="P49" s="20" t="b">
        <f>AND(OR(Clean_Data!F49="High",Clean_Data!F49="Critical"),C49=TRUE())</f>
        <v>0</v>
      </c>
      <c r="Q49" s="20" t="b">
        <f ca="1">AND(OR(Clean_Data!F49="High",Clean_Data!F49="Critical"),D49=TRUE())</f>
        <v>0</v>
      </c>
      <c r="R49" s="20" t="b">
        <f ca="1">AND(Clean_Data!K49="In Progress",ISNUMBER(Clean_Data!H49),TODAY()-Clean_Data!H49&gt;30)</f>
        <v>1</v>
      </c>
      <c r="S49" s="5" t="str">
        <f>IF(B49=TRUE(),IF(AND(ISNUMBER(Clean_Data!N49),ISNUMBER(Clean_Data!M49),Clean_Data!M49&gt;0),IF(Clean_Data!N49&lt;=Clean_Data!M49*1.2,"Healthy","Over Budget"),"N/A"),IF(AND(Clean_Data!K49="In Progress",ISNUMBER(Clean_Data!L49)),IF(Clean_Data!L49&gt;=0.5,"On Track","Slow"),"N/A"))</f>
        <v>N/A</v>
      </c>
      <c r="T49" s="5" t="str">
        <f>IF(AND(B49=TRUE(),ISNUMBER(Clean_Data!J49),ISNUMBER(Clean_Data!I49)),Clean_Data!J49&lt;=Clean_Data!I49,"")</f>
        <v/>
      </c>
      <c r="U49" s="20" t="b">
        <f>IF(NOT(ISNUMBER(Clean_Data!L49)),FALSE(),AND(Clean_Data!L49&gt;=0,Clean_Data!L49&lt;=1))</f>
        <v>0</v>
      </c>
    </row>
    <row r="50" spans="1:21" x14ac:dyDescent="0.3">
      <c r="A50" s="2" t="str">
        <f>Clean_Data!A50</f>
        <v>TSK-0049</v>
      </c>
      <c r="B50" s="19" t="b">
        <f>Clean_Data!K50="Completed"</f>
        <v>0</v>
      </c>
      <c r="C50" s="19" t="b">
        <f>OR(Clean_Data!K50="Not Started",Clean_Data!K50="In Progress",Clean_Data!K50="On Hold")</f>
        <v>1</v>
      </c>
      <c r="D50" s="19" t="b">
        <f ca="1">AND(ISNUMBER(Clean_Data!I50),Clean_Data!I50&lt;TODAY(),Clean_Data!K50&lt;&gt;"Completed",Clean_Data!K50&lt;&gt;"Cancelled")</f>
        <v>1</v>
      </c>
      <c r="E50" s="2">
        <f ca="1">IF(AND(ISNUMBER(Clean_Data!H50),Clean_Data!K50&lt;&gt;"Completed",Clean_Data!K50&lt;&gt;"Cancelled"),TODAY()-Clean_Data!H50,"")</f>
        <v>654</v>
      </c>
      <c r="F50" s="2">
        <f ca="1">IF(AND(B50=TRUE(),ISNUMBER(Clean_Data!J50),ISNUMBER(Clean_Data!I50)),MAX(0,Clean_Data!J50-Clean_Data!I50),IF(AND(B50=FALSE(),ISNUMBER(Clean_Data!I50),Clean_Data!I50&lt;TODAY(),Clean_Data!K50&lt;&gt;"Cancelled"),MAX(0,TODAY()-Clean_Data!I50),""))</f>
        <v>622</v>
      </c>
      <c r="G50" s="2" t="str">
        <f>IF(AND(B50=TRUE(),ISNUMBER(Clean_Data!J50),ISNUMBER(Clean_Data!H50)),Clean_Data!J50-Clean_Data!H50,"")</f>
        <v/>
      </c>
      <c r="H50" s="2">
        <f ca="1">IF(AND(ISNUMBER(Clean_Data!J50),ISNUMBER(Clean_Data!H50)),Clean_Data!J50-Clean_Data!H50,IF(ISNUMBER(Clean_Data!H50),TODAY()-Clean_Data!H50,""))</f>
        <v>654</v>
      </c>
      <c r="I50" s="2" t="str">
        <f>IF(ISNUMBER(Clean_Data!I50),TEXT(Clean_Data!I50,"YYYY-MM"),"")</f>
        <v>2024-07</v>
      </c>
      <c r="J50" s="2" t="str">
        <f>IF(ISNUMBER(Clean_Data!H50),TEXT(Clean_Data!H50,"YYYY-MM"),"")</f>
        <v>2024-06</v>
      </c>
      <c r="K50" s="2" t="str">
        <f>IF(ISNUMBER(Clean_Data!J50),TEXT(Clean_Data!J50,"YYYY-MM"),"")</f>
        <v/>
      </c>
      <c r="L50" s="2">
        <f>IF(ISNUMBER(Clean_Data!H50),YEAR(Clean_Data!H50),"")</f>
        <v>2024</v>
      </c>
      <c r="M50" s="2">
        <f>IF(ISNUMBER(Clean_Data!H50),MONTH(Clean_Data!H50),"")</f>
        <v>6</v>
      </c>
      <c r="N50" s="2" t="str">
        <f>IF(ISNUMBER(Clean_Data!H50),TEXT(Clean_Data!H50,"MMMM"),"")</f>
        <v>June</v>
      </c>
      <c r="O50" s="19" t="b">
        <f t="shared" ca="1" si="1"/>
        <v>1</v>
      </c>
      <c r="P50" s="19" t="b">
        <f>AND(OR(Clean_Data!F50="High",Clean_Data!F50="Critical"),C50=TRUE())</f>
        <v>0</v>
      </c>
      <c r="Q50" s="19" t="b">
        <f ca="1">AND(OR(Clean_Data!F50="High",Clean_Data!F50="Critical"),D50=TRUE())</f>
        <v>0</v>
      </c>
      <c r="R50" s="19" t="b">
        <f ca="1">AND(Clean_Data!K50="In Progress",ISNUMBER(Clean_Data!H50),TODAY()-Clean_Data!H50&gt;30)</f>
        <v>0</v>
      </c>
      <c r="S50" s="2" t="str">
        <f>IF(B50=TRUE(),IF(AND(ISNUMBER(Clean_Data!N50),ISNUMBER(Clean_Data!M50),Clean_Data!M50&gt;0),IF(Clean_Data!N50&lt;=Clean_Data!M50*1.2,"Healthy","Over Budget"),"N/A"),IF(AND(Clean_Data!K50="In Progress",ISNUMBER(Clean_Data!L50)),IF(Clean_Data!L50&gt;=0.5,"On Track","Slow"),"N/A"))</f>
        <v>N/A</v>
      </c>
      <c r="T50" s="2" t="str">
        <f>IF(AND(B50=TRUE(),ISNUMBER(Clean_Data!J50),ISNUMBER(Clean_Data!I50)),Clean_Data!J50&lt;=Clean_Data!I50,"")</f>
        <v/>
      </c>
      <c r="U50" s="19" t="b">
        <f>IF(NOT(ISNUMBER(Clean_Data!L50)),FALSE(),AND(Clean_Data!L50&gt;=0,Clean_Data!L50&lt;=1))</f>
        <v>1</v>
      </c>
    </row>
    <row r="51" spans="1:21" x14ac:dyDescent="0.3">
      <c r="A51" s="5" t="str">
        <f>Clean_Data!A51</f>
        <v>TSK-0050</v>
      </c>
      <c r="B51" s="20" t="b">
        <f>Clean_Data!K51="Completed"</f>
        <v>0</v>
      </c>
      <c r="C51" s="20" t="b">
        <f>OR(Clean_Data!K51="Not Started",Clean_Data!K51="In Progress",Clean_Data!K51="On Hold")</f>
        <v>1</v>
      </c>
      <c r="D51" s="20" t="b">
        <f ca="1">AND(ISNUMBER(Clean_Data!I51),Clean_Data!I51&lt;TODAY(),Clean_Data!K51&lt;&gt;"Completed",Clean_Data!K51&lt;&gt;"Cancelled")</f>
        <v>1</v>
      </c>
      <c r="E51" s="5">
        <f ca="1">IF(AND(ISNUMBER(Clean_Data!H51),Clean_Data!K51&lt;&gt;"Completed",Clean_Data!K51&lt;&gt;"Cancelled"),TODAY()-Clean_Data!H51,"")</f>
        <v>450</v>
      </c>
      <c r="F51" s="5">
        <f ca="1">IF(AND(B51=TRUE(),ISNUMBER(Clean_Data!J51),ISNUMBER(Clean_Data!I51)),MAX(0,Clean_Data!J51-Clean_Data!I51),IF(AND(B51=FALSE(),ISNUMBER(Clean_Data!I51),Clean_Data!I51&lt;TODAY(),Clean_Data!K51&lt;&gt;"Cancelled"),MAX(0,TODAY()-Clean_Data!I51),""))</f>
        <v>411</v>
      </c>
      <c r="G51" s="5" t="str">
        <f>IF(AND(B51=TRUE(),ISNUMBER(Clean_Data!J51),ISNUMBER(Clean_Data!H51)),Clean_Data!J51-Clean_Data!H51,"")</f>
        <v/>
      </c>
      <c r="H51" s="5">
        <f ca="1">IF(AND(ISNUMBER(Clean_Data!J51),ISNUMBER(Clean_Data!H51)),Clean_Data!J51-Clean_Data!H51,IF(ISNUMBER(Clean_Data!H51),TODAY()-Clean_Data!H51,""))</f>
        <v>450</v>
      </c>
      <c r="I51" s="5" t="str">
        <f>IF(ISNUMBER(Clean_Data!I51),TEXT(Clean_Data!I51,"YYYY-MM"),"")</f>
        <v>2025-02</v>
      </c>
      <c r="J51" s="5" t="str">
        <f>IF(ISNUMBER(Clean_Data!H51),TEXT(Clean_Data!H51,"YYYY-MM"),"")</f>
        <v>2025-01</v>
      </c>
      <c r="K51" s="5" t="str">
        <f>IF(ISNUMBER(Clean_Data!J51),TEXT(Clean_Data!J51,"YYYY-MM"),"")</f>
        <v/>
      </c>
      <c r="L51" s="5">
        <f>IF(ISNUMBER(Clean_Data!H51),YEAR(Clean_Data!H51),"")</f>
        <v>2025</v>
      </c>
      <c r="M51" s="5">
        <f>IF(ISNUMBER(Clean_Data!H51),MONTH(Clean_Data!H51),"")</f>
        <v>1</v>
      </c>
      <c r="N51" s="5" t="str">
        <f>IF(ISNUMBER(Clean_Data!H51),TEXT(Clean_Data!H51,"MMMM"),"")</f>
        <v>January</v>
      </c>
      <c r="O51" s="20" t="b">
        <f t="shared" ca="1" si="1"/>
        <v>1</v>
      </c>
      <c r="P51" s="20" t="b">
        <f>AND(OR(Clean_Data!F51="High",Clean_Data!F51="Critical"),C51=TRUE())</f>
        <v>0</v>
      </c>
      <c r="Q51" s="20" t="b">
        <f ca="1">AND(OR(Clean_Data!F51="High",Clean_Data!F51="Critical"),D51=TRUE())</f>
        <v>0</v>
      </c>
      <c r="R51" s="20" t="b">
        <f ca="1">AND(Clean_Data!K51="In Progress",ISNUMBER(Clean_Data!H51),TODAY()-Clean_Data!H51&gt;30)</f>
        <v>1</v>
      </c>
      <c r="S51" s="5" t="str">
        <f>IF(B51=TRUE(),IF(AND(ISNUMBER(Clean_Data!N51),ISNUMBER(Clean_Data!M51),Clean_Data!M51&gt;0),IF(Clean_Data!N51&lt;=Clean_Data!M51*1.2,"Healthy","Over Budget"),"N/A"),IF(AND(Clean_Data!K51="In Progress",ISNUMBER(Clean_Data!L51)),IF(Clean_Data!L51&gt;=0.5,"On Track","Slow"),"N/A"))</f>
        <v>On Track</v>
      </c>
      <c r="T51" s="5" t="str">
        <f>IF(AND(B51=TRUE(),ISNUMBER(Clean_Data!J51),ISNUMBER(Clean_Data!I51)),Clean_Data!J51&lt;=Clean_Data!I51,"")</f>
        <v/>
      </c>
      <c r="U51" s="20" t="b">
        <f>IF(NOT(ISNUMBER(Clean_Data!L51)),FALSE(),AND(Clean_Data!L51&gt;=0,Clean_Data!L51&lt;=1))</f>
        <v>1</v>
      </c>
    </row>
    <row r="52" spans="1:21" x14ac:dyDescent="0.3">
      <c r="A52" s="2" t="str">
        <f>Clean_Data!A52</f>
        <v>TSK-0051</v>
      </c>
      <c r="B52" s="19" t="b">
        <f>Clean_Data!K52="Completed"</f>
        <v>0</v>
      </c>
      <c r="C52" s="19" t="b">
        <f>OR(Clean_Data!K52="Not Started",Clean_Data!K52="In Progress",Clean_Data!K52="On Hold")</f>
        <v>1</v>
      </c>
      <c r="D52" s="19" t="b">
        <f ca="1">AND(ISNUMBER(Clean_Data!I52),Clean_Data!I52&lt;TODAY(),Clean_Data!K52&lt;&gt;"Completed",Clean_Data!K52&lt;&gt;"Cancelled")</f>
        <v>1</v>
      </c>
      <c r="E52" s="2">
        <f ca="1">IF(AND(ISNUMBER(Clean_Data!H52),Clean_Data!K52&lt;&gt;"Completed",Clean_Data!K52&lt;&gt;"Cancelled"),TODAY()-Clean_Data!H52,"")</f>
        <v>823</v>
      </c>
      <c r="F52" s="2">
        <f ca="1">IF(AND(B52=TRUE(),ISNUMBER(Clean_Data!J52),ISNUMBER(Clean_Data!I52)),MAX(0,Clean_Data!J52-Clean_Data!I52),IF(AND(B52=FALSE(),ISNUMBER(Clean_Data!I52),Clean_Data!I52&lt;TODAY(),Clean_Data!K52&lt;&gt;"Cancelled"),MAX(0,TODAY()-Clean_Data!I52),""))</f>
        <v>773</v>
      </c>
      <c r="G52" s="2" t="str">
        <f>IF(AND(B52=TRUE(),ISNUMBER(Clean_Data!J52),ISNUMBER(Clean_Data!H52)),Clean_Data!J52-Clean_Data!H52,"")</f>
        <v/>
      </c>
      <c r="H52" s="2">
        <f ca="1">IF(AND(ISNUMBER(Clean_Data!J52),ISNUMBER(Clean_Data!H52)),Clean_Data!J52-Clean_Data!H52,IF(ISNUMBER(Clean_Data!H52),TODAY()-Clean_Data!H52,""))</f>
        <v>823</v>
      </c>
      <c r="I52" s="2" t="str">
        <f>IF(ISNUMBER(Clean_Data!I52),TEXT(Clean_Data!I52,"YYYY-MM"),"")</f>
        <v>2024-03</v>
      </c>
      <c r="J52" s="2" t="str">
        <f>IF(ISNUMBER(Clean_Data!H52),TEXT(Clean_Data!H52,"YYYY-MM"),"")</f>
        <v>2024-01</v>
      </c>
      <c r="K52" s="2" t="str">
        <f>IF(ISNUMBER(Clean_Data!J52),TEXT(Clean_Data!J52,"YYYY-MM"),"")</f>
        <v/>
      </c>
      <c r="L52" s="2">
        <f>IF(ISNUMBER(Clean_Data!H52),YEAR(Clean_Data!H52),"")</f>
        <v>2024</v>
      </c>
      <c r="M52" s="2">
        <f>IF(ISNUMBER(Clean_Data!H52),MONTH(Clean_Data!H52),"")</f>
        <v>1</v>
      </c>
      <c r="N52" s="2" t="str">
        <f>IF(ISNUMBER(Clean_Data!H52),TEXT(Clean_Data!H52,"MMMM"),"")</f>
        <v>January</v>
      </c>
      <c r="O52" s="19" t="b">
        <f t="shared" ca="1" si="1"/>
        <v>1</v>
      </c>
      <c r="P52" s="19" t="b">
        <f>AND(OR(Clean_Data!F52="High",Clean_Data!F52="Critical"),C52=TRUE())</f>
        <v>1</v>
      </c>
      <c r="Q52" s="19" t="b">
        <f ca="1">AND(OR(Clean_Data!F52="High",Clean_Data!F52="Critical"),D52=TRUE())</f>
        <v>1</v>
      </c>
      <c r="R52" s="19" t="b">
        <f ca="1">AND(Clean_Data!K52="In Progress",ISNUMBER(Clean_Data!H52),TODAY()-Clean_Data!H52&gt;30)</f>
        <v>1</v>
      </c>
      <c r="S52" s="2" t="str">
        <f>IF(B52=TRUE(),IF(AND(ISNUMBER(Clean_Data!N52),ISNUMBER(Clean_Data!M52),Clean_Data!M52&gt;0),IF(Clean_Data!N52&lt;=Clean_Data!M52*1.2,"Healthy","Over Budget"),"N/A"),IF(AND(Clean_Data!K52="In Progress",ISNUMBER(Clean_Data!L52)),IF(Clean_Data!L52&gt;=0.5,"On Track","Slow"),"N/A"))</f>
        <v>Slow</v>
      </c>
      <c r="T52" s="2" t="str">
        <f>IF(AND(B52=TRUE(),ISNUMBER(Clean_Data!J52),ISNUMBER(Clean_Data!I52)),Clean_Data!J52&lt;=Clean_Data!I52,"")</f>
        <v/>
      </c>
      <c r="U52" s="19" t="b">
        <f>IF(NOT(ISNUMBER(Clean_Data!L52)),FALSE(),AND(Clean_Data!L52&gt;=0,Clean_Data!L52&lt;=1))</f>
        <v>1</v>
      </c>
    </row>
    <row r="53" spans="1:21" x14ac:dyDescent="0.3">
      <c r="A53" s="5" t="str">
        <f>Clean_Data!A53</f>
        <v>TSK-0052</v>
      </c>
      <c r="B53" s="20" t="b">
        <f>Clean_Data!K53="Completed"</f>
        <v>0</v>
      </c>
      <c r="C53" s="20" t="b">
        <f>OR(Clean_Data!K53="Not Started",Clean_Data!K53="In Progress",Clean_Data!K53="On Hold")</f>
        <v>1</v>
      </c>
      <c r="D53" s="20" t="b">
        <f ca="1">AND(ISNUMBER(Clean_Data!I53),Clean_Data!I53&lt;TODAY(),Clean_Data!K53&lt;&gt;"Completed",Clean_Data!K53&lt;&gt;"Cancelled")</f>
        <v>1</v>
      </c>
      <c r="E53" s="5">
        <f ca="1">IF(AND(ISNUMBER(Clean_Data!H53),Clean_Data!K53&lt;&gt;"Completed",Clean_Data!K53&lt;&gt;"Cancelled"),TODAY()-Clean_Data!H53,"")</f>
        <v>605</v>
      </c>
      <c r="F53" s="5">
        <f ca="1">IF(AND(B53=TRUE(),ISNUMBER(Clean_Data!J53),ISNUMBER(Clean_Data!I53)),MAX(0,Clean_Data!J53-Clean_Data!I53),IF(AND(B53=FALSE(),ISNUMBER(Clean_Data!I53),Clean_Data!I53&lt;TODAY(),Clean_Data!K53&lt;&gt;"Cancelled"),MAX(0,TODAY()-Clean_Data!I53),""))</f>
        <v>579</v>
      </c>
      <c r="G53" s="5" t="str">
        <f>IF(AND(B53=TRUE(),ISNUMBER(Clean_Data!J53),ISNUMBER(Clean_Data!H53)),Clean_Data!J53-Clean_Data!H53,"")</f>
        <v/>
      </c>
      <c r="H53" s="5">
        <f ca="1">IF(AND(ISNUMBER(Clean_Data!J53),ISNUMBER(Clean_Data!H53)),Clean_Data!J53-Clean_Data!H53,IF(ISNUMBER(Clean_Data!H53),TODAY()-Clean_Data!H53,""))</f>
        <v>605</v>
      </c>
      <c r="I53" s="5" t="str">
        <f>IF(ISNUMBER(Clean_Data!I53),TEXT(Clean_Data!I53,"YYYY-MM"),"")</f>
        <v>2024-09</v>
      </c>
      <c r="J53" s="5" t="str">
        <f>IF(ISNUMBER(Clean_Data!H53),TEXT(Clean_Data!H53,"YYYY-MM"),"")</f>
        <v>2024-08</v>
      </c>
      <c r="K53" s="5" t="str">
        <f>IF(ISNUMBER(Clean_Data!J53),TEXT(Clean_Data!J53,"YYYY-MM"),"")</f>
        <v/>
      </c>
      <c r="L53" s="5">
        <f>IF(ISNUMBER(Clean_Data!H53),YEAR(Clean_Data!H53),"")</f>
        <v>2024</v>
      </c>
      <c r="M53" s="5">
        <f>IF(ISNUMBER(Clean_Data!H53),MONTH(Clean_Data!H53),"")</f>
        <v>8</v>
      </c>
      <c r="N53" s="5" t="str">
        <f>IF(ISNUMBER(Clean_Data!H53),TEXT(Clean_Data!H53,"MMMM"),"")</f>
        <v>August</v>
      </c>
      <c r="O53" s="20" t="b">
        <f t="shared" ca="1" si="1"/>
        <v>1</v>
      </c>
      <c r="P53" s="20" t="b">
        <f>AND(OR(Clean_Data!F53="High",Clean_Data!F53="Critical"),C53=TRUE())</f>
        <v>0</v>
      </c>
      <c r="Q53" s="20" t="b">
        <f ca="1">AND(OR(Clean_Data!F53="High",Clean_Data!F53="Critical"),D53=TRUE())</f>
        <v>0</v>
      </c>
      <c r="R53" s="20" t="b">
        <f ca="1">AND(Clean_Data!K53="In Progress",ISNUMBER(Clean_Data!H53),TODAY()-Clean_Data!H53&gt;30)</f>
        <v>1</v>
      </c>
      <c r="S53" s="5" t="str">
        <f>IF(B53=TRUE(),IF(AND(ISNUMBER(Clean_Data!N53),ISNUMBER(Clean_Data!M53),Clean_Data!M53&gt;0),IF(Clean_Data!N53&lt;=Clean_Data!M53*1.2,"Healthy","Over Budget"),"N/A"),IF(AND(Clean_Data!K53="In Progress",ISNUMBER(Clean_Data!L53)),IF(Clean_Data!L53&gt;=0.5,"On Track","Slow"),"N/A"))</f>
        <v>Slow</v>
      </c>
      <c r="T53" s="5" t="str">
        <f>IF(AND(B53=TRUE(),ISNUMBER(Clean_Data!J53),ISNUMBER(Clean_Data!I53)),Clean_Data!J53&lt;=Clean_Data!I53,"")</f>
        <v/>
      </c>
      <c r="U53" s="20" t="b">
        <f>IF(NOT(ISNUMBER(Clean_Data!L53)),FALSE(),AND(Clean_Data!L53&gt;=0,Clean_Data!L53&lt;=1))</f>
        <v>1</v>
      </c>
    </row>
    <row r="54" spans="1:21" x14ac:dyDescent="0.3">
      <c r="A54" s="2" t="str">
        <f>Clean_Data!A54</f>
        <v>TSK-0053</v>
      </c>
      <c r="B54" s="19" t="b">
        <f>Clean_Data!K54="Completed"</f>
        <v>0</v>
      </c>
      <c r="C54" s="19" t="b">
        <f>OR(Clean_Data!K54="Not Started",Clean_Data!K54="In Progress",Clean_Data!K54="On Hold")</f>
        <v>1</v>
      </c>
      <c r="D54" s="19" t="b">
        <f ca="1">AND(ISNUMBER(Clean_Data!I54),Clean_Data!I54&lt;TODAY(),Clean_Data!K54&lt;&gt;"Completed",Clean_Data!K54&lt;&gt;"Cancelled")</f>
        <v>1</v>
      </c>
      <c r="E54" s="2">
        <f ca="1">IF(AND(ISNUMBER(Clean_Data!H54),Clean_Data!K54&lt;&gt;"Completed",Clean_Data!K54&lt;&gt;"Cancelled"),TODAY()-Clean_Data!H54,"")</f>
        <v>770</v>
      </c>
      <c r="F54" s="2">
        <f ca="1">IF(AND(B54=TRUE(),ISNUMBER(Clean_Data!J54),ISNUMBER(Clean_Data!I54)),MAX(0,Clean_Data!J54-Clean_Data!I54),IF(AND(B54=FALSE(),ISNUMBER(Clean_Data!I54),Clean_Data!I54&lt;TODAY(),Clean_Data!K54&lt;&gt;"Cancelled"),MAX(0,TODAY()-Clean_Data!I54),""))</f>
        <v>730</v>
      </c>
      <c r="G54" s="2" t="str">
        <f>IF(AND(B54=TRUE(),ISNUMBER(Clean_Data!J54),ISNUMBER(Clean_Data!H54)),Clean_Data!J54-Clean_Data!H54,"")</f>
        <v/>
      </c>
      <c r="H54" s="2">
        <f ca="1">IF(AND(ISNUMBER(Clean_Data!J54),ISNUMBER(Clean_Data!H54)),Clean_Data!J54-Clean_Data!H54,IF(ISNUMBER(Clean_Data!H54),TODAY()-Clean_Data!H54,""))</f>
        <v>770</v>
      </c>
      <c r="I54" s="2" t="str">
        <f>IF(ISNUMBER(Clean_Data!I54),TEXT(Clean_Data!I54,"YYYY-MM"),"")</f>
        <v>2024-04</v>
      </c>
      <c r="J54" s="2" t="str">
        <f>IF(ISNUMBER(Clean_Data!H54),TEXT(Clean_Data!H54,"YYYY-MM"),"")</f>
        <v>2024-03</v>
      </c>
      <c r="K54" s="2" t="str">
        <f>IF(ISNUMBER(Clean_Data!J54),TEXT(Clean_Data!J54,"YYYY-MM"),"")</f>
        <v/>
      </c>
      <c r="L54" s="2">
        <f>IF(ISNUMBER(Clean_Data!H54),YEAR(Clean_Data!H54),"")</f>
        <v>2024</v>
      </c>
      <c r="M54" s="2">
        <f>IF(ISNUMBER(Clean_Data!H54),MONTH(Clean_Data!H54),"")</f>
        <v>3</v>
      </c>
      <c r="N54" s="2" t="str">
        <f>IF(ISNUMBER(Clean_Data!H54),TEXT(Clean_Data!H54,"MMMM"),"")</f>
        <v>March</v>
      </c>
      <c r="O54" s="19" t="b">
        <f t="shared" ca="1" si="1"/>
        <v>1</v>
      </c>
      <c r="P54" s="19" t="b">
        <f>AND(OR(Clean_Data!F54="High",Clean_Data!F54="Critical"),C54=TRUE())</f>
        <v>1</v>
      </c>
      <c r="Q54" s="19" t="b">
        <f ca="1">AND(OR(Clean_Data!F54="High",Clean_Data!F54="Critical"),D54=TRUE())</f>
        <v>1</v>
      </c>
      <c r="R54" s="19" t="b">
        <f ca="1">AND(Clean_Data!K54="In Progress",ISNUMBER(Clean_Data!H54),TODAY()-Clean_Data!H54&gt;30)</f>
        <v>0</v>
      </c>
      <c r="S54" s="2" t="str">
        <f>IF(B54=TRUE(),IF(AND(ISNUMBER(Clean_Data!N54),ISNUMBER(Clean_Data!M54),Clean_Data!M54&gt;0),IF(Clean_Data!N54&lt;=Clean_Data!M54*1.2,"Healthy","Over Budget"),"N/A"),IF(AND(Clean_Data!K54="In Progress",ISNUMBER(Clean_Data!L54)),IF(Clean_Data!L54&gt;=0.5,"On Track","Slow"),"N/A"))</f>
        <v>N/A</v>
      </c>
      <c r="T54" s="2" t="str">
        <f>IF(AND(B54=TRUE(),ISNUMBER(Clean_Data!J54),ISNUMBER(Clean_Data!I54)),Clean_Data!J54&lt;=Clean_Data!I54,"")</f>
        <v/>
      </c>
      <c r="U54" s="19" t="b">
        <f>IF(NOT(ISNUMBER(Clean_Data!L54)),FALSE(),AND(Clean_Data!L54&gt;=0,Clean_Data!L54&lt;=1))</f>
        <v>0</v>
      </c>
    </row>
    <row r="55" spans="1:21" x14ac:dyDescent="0.3">
      <c r="A55" s="5" t="str">
        <f>Clean_Data!A55</f>
        <v>TSK-0054</v>
      </c>
      <c r="B55" s="20" t="b">
        <f>Clean_Data!K55="Completed"</f>
        <v>0</v>
      </c>
      <c r="C55" s="20" t="b">
        <f>OR(Clean_Data!K55="Not Started",Clean_Data!K55="In Progress",Clean_Data!K55="On Hold")</f>
        <v>1</v>
      </c>
      <c r="D55" s="20" t="b">
        <f ca="1">AND(ISNUMBER(Clean_Data!I55),Clean_Data!I55&lt;TODAY(),Clean_Data!K55&lt;&gt;"Completed",Clean_Data!K55&lt;&gt;"Cancelled")</f>
        <v>1</v>
      </c>
      <c r="E55" s="5">
        <f ca="1">IF(AND(ISNUMBER(Clean_Data!H55),Clean_Data!K55&lt;&gt;"Completed",Clean_Data!K55&lt;&gt;"Cancelled"),TODAY()-Clean_Data!H55,"")</f>
        <v>440</v>
      </c>
      <c r="F55" s="5">
        <f ca="1">IF(AND(B55=TRUE(),ISNUMBER(Clean_Data!J55),ISNUMBER(Clean_Data!I55)),MAX(0,Clean_Data!J55-Clean_Data!I55),IF(AND(B55=FALSE(),ISNUMBER(Clean_Data!I55),Clean_Data!I55&lt;TODAY(),Clean_Data!K55&lt;&gt;"Cancelled"),MAX(0,TODAY()-Clean_Data!I55),""))</f>
        <v>422</v>
      </c>
      <c r="G55" s="5" t="str">
        <f>IF(AND(B55=TRUE(),ISNUMBER(Clean_Data!J55),ISNUMBER(Clean_Data!H55)),Clean_Data!J55-Clean_Data!H55,"")</f>
        <v/>
      </c>
      <c r="H55" s="5">
        <f ca="1">IF(AND(ISNUMBER(Clean_Data!J55),ISNUMBER(Clean_Data!H55)),Clean_Data!J55-Clean_Data!H55,IF(ISNUMBER(Clean_Data!H55),TODAY()-Clean_Data!H55,""))</f>
        <v>440</v>
      </c>
      <c r="I55" s="5" t="str">
        <f>IF(ISNUMBER(Clean_Data!I55),TEXT(Clean_Data!I55,"YYYY-MM"),"")</f>
        <v>2025-02</v>
      </c>
      <c r="J55" s="5" t="str">
        <f>IF(ISNUMBER(Clean_Data!H55),TEXT(Clean_Data!H55,"YYYY-MM"),"")</f>
        <v>2025-01</v>
      </c>
      <c r="K55" s="5" t="str">
        <f>IF(ISNUMBER(Clean_Data!J55),TEXT(Clean_Data!J55,"YYYY-MM"),"")</f>
        <v/>
      </c>
      <c r="L55" s="5">
        <f>IF(ISNUMBER(Clean_Data!H55),YEAR(Clean_Data!H55),"")</f>
        <v>2025</v>
      </c>
      <c r="M55" s="5">
        <f>IF(ISNUMBER(Clean_Data!H55),MONTH(Clean_Data!H55),"")</f>
        <v>1</v>
      </c>
      <c r="N55" s="5" t="str">
        <f>IF(ISNUMBER(Clean_Data!H55),TEXT(Clean_Data!H55,"MMMM"),"")</f>
        <v>January</v>
      </c>
      <c r="O55" s="20" t="b">
        <f t="shared" ca="1" si="1"/>
        <v>1</v>
      </c>
      <c r="P55" s="20" t="b">
        <f>AND(OR(Clean_Data!F55="High",Clean_Data!F55="Critical"),C55=TRUE())</f>
        <v>0</v>
      </c>
      <c r="Q55" s="20" t="b">
        <f ca="1">AND(OR(Clean_Data!F55="High",Clean_Data!F55="Critical"),D55=TRUE())</f>
        <v>0</v>
      </c>
      <c r="R55" s="20" t="b">
        <f ca="1">AND(Clean_Data!K55="In Progress",ISNUMBER(Clean_Data!H55),TODAY()-Clean_Data!H55&gt;30)</f>
        <v>1</v>
      </c>
      <c r="S55" s="5" t="str">
        <f>IF(B55=TRUE(),IF(AND(ISNUMBER(Clean_Data!N55),ISNUMBER(Clean_Data!M55),Clean_Data!M55&gt;0),IF(Clean_Data!N55&lt;=Clean_Data!M55*1.2,"Healthy","Over Budget"),"N/A"),IF(AND(Clean_Data!K55="In Progress",ISNUMBER(Clean_Data!L55)),IF(Clean_Data!L55&gt;=0.5,"On Track","Slow"),"N/A"))</f>
        <v>On Track</v>
      </c>
      <c r="T55" s="5" t="str">
        <f>IF(AND(B55=TRUE(),ISNUMBER(Clean_Data!J55),ISNUMBER(Clean_Data!I55)),Clean_Data!J55&lt;=Clean_Data!I55,"")</f>
        <v/>
      </c>
      <c r="U55" s="20" t="b">
        <f>IF(NOT(ISNUMBER(Clean_Data!L55)),FALSE(),AND(Clean_Data!L55&gt;=0,Clean_Data!L55&lt;=1))</f>
        <v>1</v>
      </c>
    </row>
    <row r="56" spans="1:21" x14ac:dyDescent="0.3">
      <c r="A56" s="2" t="str">
        <f>Clean_Data!A56</f>
        <v>TSK-0055</v>
      </c>
      <c r="B56" s="19" t="b">
        <f>Clean_Data!K56="Completed"</f>
        <v>0</v>
      </c>
      <c r="C56" s="19" t="b">
        <f>OR(Clean_Data!K56="Not Started",Clean_Data!K56="In Progress",Clean_Data!K56="On Hold")</f>
        <v>1</v>
      </c>
      <c r="D56" s="19" t="b">
        <f ca="1">AND(ISNUMBER(Clean_Data!I56),Clean_Data!I56&lt;TODAY(),Clean_Data!K56&lt;&gt;"Completed",Clean_Data!K56&lt;&gt;"Cancelled")</f>
        <v>1</v>
      </c>
      <c r="E56" s="2">
        <f ca="1">IF(AND(ISNUMBER(Clean_Data!H56),Clean_Data!K56&lt;&gt;"Completed",Clean_Data!K56&lt;&gt;"Cancelled"),TODAY()-Clean_Data!H56,"")</f>
        <v>469</v>
      </c>
      <c r="F56" s="2">
        <f ca="1">IF(AND(B56=TRUE(),ISNUMBER(Clean_Data!J56),ISNUMBER(Clean_Data!I56)),MAX(0,Clean_Data!J56-Clean_Data!I56),IF(AND(B56=FALSE(),ISNUMBER(Clean_Data!I56),Clean_Data!I56&lt;TODAY(),Clean_Data!K56&lt;&gt;"Cancelled"),MAX(0,TODAY()-Clean_Data!I56),""))</f>
        <v>446</v>
      </c>
      <c r="G56" s="2" t="str">
        <f>IF(AND(B56=TRUE(),ISNUMBER(Clean_Data!J56),ISNUMBER(Clean_Data!H56)),Clean_Data!J56-Clean_Data!H56,"")</f>
        <v/>
      </c>
      <c r="H56" s="2">
        <f ca="1">IF(AND(ISNUMBER(Clean_Data!J56),ISNUMBER(Clean_Data!H56)),Clean_Data!J56-Clean_Data!H56,IF(ISNUMBER(Clean_Data!H56),TODAY()-Clean_Data!H56,""))</f>
        <v>469</v>
      </c>
      <c r="I56" s="2" t="str">
        <f>IF(ISNUMBER(Clean_Data!I56),TEXT(Clean_Data!I56,"YYYY-MM"),"")</f>
        <v>2025-01</v>
      </c>
      <c r="J56" s="2" t="str">
        <f>IF(ISNUMBER(Clean_Data!H56),TEXT(Clean_Data!H56,"YYYY-MM"),"")</f>
        <v>2024-12</v>
      </c>
      <c r="K56" s="2" t="str">
        <f>IF(ISNUMBER(Clean_Data!J56),TEXT(Clean_Data!J56,"YYYY-MM"),"")</f>
        <v/>
      </c>
      <c r="L56" s="2">
        <f>IF(ISNUMBER(Clean_Data!H56),YEAR(Clean_Data!H56),"")</f>
        <v>2024</v>
      </c>
      <c r="M56" s="2">
        <f>IF(ISNUMBER(Clean_Data!H56),MONTH(Clean_Data!H56),"")</f>
        <v>12</v>
      </c>
      <c r="N56" s="2" t="str">
        <f>IF(ISNUMBER(Clean_Data!H56),TEXT(Clean_Data!H56,"MMMM"),"")</f>
        <v>December</v>
      </c>
      <c r="O56" s="19" t="b">
        <f t="shared" ca="1" si="1"/>
        <v>1</v>
      </c>
      <c r="P56" s="19" t="b">
        <f>AND(OR(Clean_Data!F56="High",Clean_Data!F56="Critical"),C56=TRUE())</f>
        <v>1</v>
      </c>
      <c r="Q56" s="19" t="b">
        <f ca="1">AND(OR(Clean_Data!F56="High",Clean_Data!F56="Critical"),D56=TRUE())</f>
        <v>1</v>
      </c>
      <c r="R56" s="19" t="b">
        <f ca="1">AND(Clean_Data!K56="In Progress",ISNUMBER(Clean_Data!H56),TODAY()-Clean_Data!H56&gt;30)</f>
        <v>0</v>
      </c>
      <c r="S56" s="2" t="str">
        <f>IF(B56=TRUE(),IF(AND(ISNUMBER(Clean_Data!N56),ISNUMBER(Clean_Data!M56),Clean_Data!M56&gt;0),IF(Clean_Data!N56&lt;=Clean_Data!M56*1.2,"Healthy","Over Budget"),"N/A"),IF(AND(Clean_Data!K56="In Progress",ISNUMBER(Clean_Data!L56)),IF(Clean_Data!L56&gt;=0.5,"On Track","Slow"),"N/A"))</f>
        <v>N/A</v>
      </c>
      <c r="T56" s="2" t="str">
        <f>IF(AND(B56=TRUE(),ISNUMBER(Clean_Data!J56),ISNUMBER(Clean_Data!I56)),Clean_Data!J56&lt;=Clean_Data!I56,"")</f>
        <v/>
      </c>
      <c r="U56" s="19" t="b">
        <f>IF(NOT(ISNUMBER(Clean_Data!L56)),FALSE(),AND(Clean_Data!L56&gt;=0,Clean_Data!L56&lt;=1))</f>
        <v>0</v>
      </c>
    </row>
    <row r="57" spans="1:21" x14ac:dyDescent="0.3">
      <c r="A57" s="5" t="str">
        <f>Clean_Data!A57</f>
        <v>TSK-0056</v>
      </c>
      <c r="B57" s="20" t="b">
        <f>Clean_Data!K57="Completed"</f>
        <v>0</v>
      </c>
      <c r="C57" s="20" t="b">
        <f>OR(Clean_Data!K57="Not Started",Clean_Data!K57="In Progress",Clean_Data!K57="On Hold")</f>
        <v>1</v>
      </c>
      <c r="D57" s="20" t="b">
        <f ca="1">AND(ISNUMBER(Clean_Data!I57),Clean_Data!I57&lt;TODAY(),Clean_Data!K57&lt;&gt;"Completed",Clean_Data!K57&lt;&gt;"Cancelled")</f>
        <v>1</v>
      </c>
      <c r="E57" s="5">
        <f ca="1">IF(AND(ISNUMBER(Clean_Data!H57),Clean_Data!K57&lt;&gt;"Completed",Clean_Data!K57&lt;&gt;"Cancelled"),TODAY()-Clean_Data!H57,"")</f>
        <v>694</v>
      </c>
      <c r="F57" s="5">
        <f ca="1">IF(AND(B57=TRUE(),ISNUMBER(Clean_Data!J57),ISNUMBER(Clean_Data!I57)),MAX(0,Clean_Data!J57-Clean_Data!I57),IF(AND(B57=FALSE(),ISNUMBER(Clean_Data!I57),Clean_Data!I57&lt;TODAY(),Clean_Data!K57&lt;&gt;"Cancelled"),MAX(0,TODAY()-Clean_Data!I57),""))</f>
        <v>637</v>
      </c>
      <c r="G57" s="5" t="str">
        <f>IF(AND(B57=TRUE(),ISNUMBER(Clean_Data!J57),ISNUMBER(Clean_Data!H57)),Clean_Data!J57-Clean_Data!H57,"")</f>
        <v/>
      </c>
      <c r="H57" s="5">
        <f ca="1">IF(AND(ISNUMBER(Clean_Data!J57),ISNUMBER(Clean_Data!H57)),Clean_Data!J57-Clean_Data!H57,IF(ISNUMBER(Clean_Data!H57),TODAY()-Clean_Data!H57,""))</f>
        <v>694</v>
      </c>
      <c r="I57" s="5" t="str">
        <f>IF(ISNUMBER(Clean_Data!I57),TEXT(Clean_Data!I57,"YYYY-MM"),"")</f>
        <v>2024-07</v>
      </c>
      <c r="J57" s="5" t="str">
        <f>IF(ISNUMBER(Clean_Data!H57),TEXT(Clean_Data!H57,"YYYY-MM"),"")</f>
        <v>2024-05</v>
      </c>
      <c r="K57" s="5" t="str">
        <f>IF(ISNUMBER(Clean_Data!J57),TEXT(Clean_Data!J57,"YYYY-MM"),"")</f>
        <v/>
      </c>
      <c r="L57" s="5">
        <f>IF(ISNUMBER(Clean_Data!H57),YEAR(Clean_Data!H57),"")</f>
        <v>2024</v>
      </c>
      <c r="M57" s="5">
        <f>IF(ISNUMBER(Clean_Data!H57),MONTH(Clean_Data!H57),"")</f>
        <v>5</v>
      </c>
      <c r="N57" s="5" t="str">
        <f>IF(ISNUMBER(Clean_Data!H57),TEXT(Clean_Data!H57,"MMMM"),"")</f>
        <v>May</v>
      </c>
      <c r="O57" s="20" t="b">
        <f t="shared" ca="1" si="1"/>
        <v>1</v>
      </c>
      <c r="P57" s="20" t="b">
        <f>AND(OR(Clean_Data!F57="High",Clean_Data!F57="Critical"),C57=TRUE())</f>
        <v>0</v>
      </c>
      <c r="Q57" s="20" t="b">
        <f ca="1">AND(OR(Clean_Data!F57="High",Clean_Data!F57="Critical"),D57=TRUE())</f>
        <v>0</v>
      </c>
      <c r="R57" s="20" t="b">
        <f ca="1">AND(Clean_Data!K57="In Progress",ISNUMBER(Clean_Data!H57),TODAY()-Clean_Data!H57&gt;30)</f>
        <v>1</v>
      </c>
      <c r="S57" s="5" t="str">
        <f>IF(B57=TRUE(),IF(AND(ISNUMBER(Clean_Data!N57),ISNUMBER(Clean_Data!M57),Clean_Data!M57&gt;0),IF(Clean_Data!N57&lt;=Clean_Data!M57*1.2,"Healthy","Over Budget"),"N/A"),IF(AND(Clean_Data!K57="In Progress",ISNUMBER(Clean_Data!L57)),IF(Clean_Data!L57&gt;=0.5,"On Track","Slow"),"N/A"))</f>
        <v>Slow</v>
      </c>
      <c r="T57" s="5" t="str">
        <f>IF(AND(B57=TRUE(),ISNUMBER(Clean_Data!J57),ISNUMBER(Clean_Data!I57)),Clean_Data!J57&lt;=Clean_Data!I57,"")</f>
        <v/>
      </c>
      <c r="U57" s="20" t="b">
        <f>IF(NOT(ISNUMBER(Clean_Data!L57)),FALSE(),AND(Clean_Data!L57&gt;=0,Clean_Data!L57&lt;=1))</f>
        <v>1</v>
      </c>
    </row>
    <row r="58" spans="1:21" x14ac:dyDescent="0.3">
      <c r="A58" s="2" t="str">
        <f>Clean_Data!A58</f>
        <v>TSK-0057</v>
      </c>
      <c r="B58" s="19" t="b">
        <f>Clean_Data!K58="Completed"</f>
        <v>0</v>
      </c>
      <c r="C58" s="19" t="b">
        <f>OR(Clean_Data!K58="Not Started",Clean_Data!K58="In Progress",Clean_Data!K58="On Hold")</f>
        <v>1</v>
      </c>
      <c r="D58" s="19" t="b">
        <f ca="1">AND(ISNUMBER(Clean_Data!I58),Clean_Data!I58&lt;TODAY(),Clean_Data!K58&lt;&gt;"Completed",Clean_Data!K58&lt;&gt;"Cancelled")</f>
        <v>1</v>
      </c>
      <c r="E58" s="2">
        <f ca="1">IF(AND(ISNUMBER(Clean_Data!H58),Clean_Data!K58&lt;&gt;"Completed",Clean_Data!K58&lt;&gt;"Cancelled"),TODAY()-Clean_Data!H58,"")</f>
        <v>554</v>
      </c>
      <c r="F58" s="2">
        <f ca="1">IF(AND(B58=TRUE(),ISNUMBER(Clean_Data!J58),ISNUMBER(Clean_Data!I58)),MAX(0,Clean_Data!J58-Clean_Data!I58),IF(AND(B58=FALSE(),ISNUMBER(Clean_Data!I58),Clean_Data!I58&lt;TODAY(),Clean_Data!K58&lt;&gt;"Cancelled"),MAX(0,TODAY()-Clean_Data!I58),""))</f>
        <v>518</v>
      </c>
      <c r="G58" s="2" t="str">
        <f>IF(AND(B58=TRUE(),ISNUMBER(Clean_Data!J58),ISNUMBER(Clean_Data!H58)),Clean_Data!J58-Clean_Data!H58,"")</f>
        <v/>
      </c>
      <c r="H58" s="2">
        <f ca="1">IF(AND(ISNUMBER(Clean_Data!J58),ISNUMBER(Clean_Data!H58)),Clean_Data!J58-Clean_Data!H58,IF(ISNUMBER(Clean_Data!H58),TODAY()-Clean_Data!H58,""))</f>
        <v>554</v>
      </c>
      <c r="I58" s="2" t="str">
        <f>IF(ISNUMBER(Clean_Data!I58),TEXT(Clean_Data!I58,"YYYY-MM"),"")</f>
        <v>2024-11</v>
      </c>
      <c r="J58" s="2" t="str">
        <f>IF(ISNUMBER(Clean_Data!H58),TEXT(Clean_Data!H58,"YYYY-MM"),"")</f>
        <v>2024-10</v>
      </c>
      <c r="K58" s="2" t="str">
        <f>IF(ISNUMBER(Clean_Data!J58),TEXT(Clean_Data!J58,"YYYY-MM"),"")</f>
        <v/>
      </c>
      <c r="L58" s="2">
        <f>IF(ISNUMBER(Clean_Data!H58),YEAR(Clean_Data!H58),"")</f>
        <v>2024</v>
      </c>
      <c r="M58" s="2">
        <f>IF(ISNUMBER(Clean_Data!H58),MONTH(Clean_Data!H58),"")</f>
        <v>10</v>
      </c>
      <c r="N58" s="2" t="str">
        <f>IF(ISNUMBER(Clean_Data!H58),TEXT(Clean_Data!H58,"MMMM"),"")</f>
        <v>October</v>
      </c>
      <c r="O58" s="19" t="b">
        <f t="shared" ca="1" si="1"/>
        <v>1</v>
      </c>
      <c r="P58" s="19" t="b">
        <f>AND(OR(Clean_Data!F58="High",Clean_Data!F58="Critical"),C58=TRUE())</f>
        <v>0</v>
      </c>
      <c r="Q58" s="19" t="b">
        <f ca="1">AND(OR(Clean_Data!F58="High",Clean_Data!F58="Critical"),D58=TRUE())</f>
        <v>0</v>
      </c>
      <c r="R58" s="19" t="b">
        <f ca="1">AND(Clean_Data!K58="In Progress",ISNUMBER(Clean_Data!H58),TODAY()-Clean_Data!H58&gt;30)</f>
        <v>0</v>
      </c>
      <c r="S58" s="2" t="str">
        <f>IF(B58=TRUE(),IF(AND(ISNUMBER(Clean_Data!N58),ISNUMBER(Clean_Data!M58),Clean_Data!M58&gt;0),IF(Clean_Data!N58&lt;=Clean_Data!M58*1.2,"Healthy","Over Budget"),"N/A"),IF(AND(Clean_Data!K58="In Progress",ISNUMBER(Clean_Data!L58)),IF(Clean_Data!L58&gt;=0.5,"On Track","Slow"),"N/A"))</f>
        <v>N/A</v>
      </c>
      <c r="T58" s="2" t="str">
        <f>IF(AND(B58=TRUE(),ISNUMBER(Clean_Data!J58),ISNUMBER(Clean_Data!I58)),Clean_Data!J58&lt;=Clean_Data!I58,"")</f>
        <v/>
      </c>
      <c r="U58" s="19" t="b">
        <f>IF(NOT(ISNUMBER(Clean_Data!L58)),FALSE(),AND(Clean_Data!L58&gt;=0,Clean_Data!L58&lt;=1))</f>
        <v>0</v>
      </c>
    </row>
    <row r="59" spans="1:21" x14ac:dyDescent="0.3">
      <c r="A59" s="5" t="str">
        <f>Clean_Data!A59</f>
        <v>TSK-0058</v>
      </c>
      <c r="B59" s="20" t="b">
        <f>Clean_Data!K59="Completed"</f>
        <v>0</v>
      </c>
      <c r="C59" s="20" t="b">
        <f>OR(Clean_Data!K59="Not Started",Clean_Data!K59="In Progress",Clean_Data!K59="On Hold")</f>
        <v>1</v>
      </c>
      <c r="D59" s="20" t="b">
        <f ca="1">AND(ISNUMBER(Clean_Data!I59),Clean_Data!I59&lt;TODAY(),Clean_Data!K59&lt;&gt;"Completed",Clean_Data!K59&lt;&gt;"Cancelled")</f>
        <v>1</v>
      </c>
      <c r="E59" s="5">
        <f ca="1">IF(AND(ISNUMBER(Clean_Data!H59),Clean_Data!K59&lt;&gt;"Completed",Clean_Data!K59&lt;&gt;"Cancelled"),TODAY()-Clean_Data!H59,"")</f>
        <v>439</v>
      </c>
      <c r="F59" s="5">
        <f ca="1">IF(AND(B59=TRUE(),ISNUMBER(Clean_Data!J59),ISNUMBER(Clean_Data!I59)),MAX(0,Clean_Data!J59-Clean_Data!I59),IF(AND(B59=FALSE(),ISNUMBER(Clean_Data!I59),Clean_Data!I59&lt;TODAY(),Clean_Data!K59&lt;&gt;"Cancelled"),MAX(0,TODAY()-Clean_Data!I59),""))</f>
        <v>391</v>
      </c>
      <c r="G59" s="5" t="str">
        <f>IF(AND(B59=TRUE(),ISNUMBER(Clean_Data!J59),ISNUMBER(Clean_Data!H59)),Clean_Data!J59-Clean_Data!H59,"")</f>
        <v/>
      </c>
      <c r="H59" s="5">
        <f ca="1">IF(AND(ISNUMBER(Clean_Data!J59),ISNUMBER(Clean_Data!H59)),Clean_Data!J59-Clean_Data!H59,IF(ISNUMBER(Clean_Data!H59),TODAY()-Clean_Data!H59,""))</f>
        <v>439</v>
      </c>
      <c r="I59" s="5" t="str">
        <f>IF(ISNUMBER(Clean_Data!I59),TEXT(Clean_Data!I59,"YYYY-MM"),"")</f>
        <v>2025-03</v>
      </c>
      <c r="J59" s="5" t="str">
        <f>IF(ISNUMBER(Clean_Data!H59),TEXT(Clean_Data!H59,"YYYY-MM"),"")</f>
        <v>2025-01</v>
      </c>
      <c r="K59" s="5" t="str">
        <f>IF(ISNUMBER(Clean_Data!J59),TEXT(Clean_Data!J59,"YYYY-MM"),"")</f>
        <v/>
      </c>
      <c r="L59" s="5">
        <f>IF(ISNUMBER(Clean_Data!H59),YEAR(Clean_Data!H59),"")</f>
        <v>2025</v>
      </c>
      <c r="M59" s="5">
        <f>IF(ISNUMBER(Clean_Data!H59),MONTH(Clean_Data!H59),"")</f>
        <v>1</v>
      </c>
      <c r="N59" s="5" t="str">
        <f>IF(ISNUMBER(Clean_Data!H59),TEXT(Clean_Data!H59,"MMMM"),"")</f>
        <v>January</v>
      </c>
      <c r="O59" s="20" t="b">
        <f t="shared" ca="1" si="1"/>
        <v>1</v>
      </c>
      <c r="P59" s="20" t="b">
        <f>AND(OR(Clean_Data!F59="High",Clean_Data!F59="Critical"),C59=TRUE())</f>
        <v>1</v>
      </c>
      <c r="Q59" s="20" t="b">
        <f ca="1">AND(OR(Clean_Data!F59="High",Clean_Data!F59="Critical"),D59=TRUE())</f>
        <v>1</v>
      </c>
      <c r="R59" s="20" t="b">
        <f ca="1">AND(Clean_Data!K59="In Progress",ISNUMBER(Clean_Data!H59),TODAY()-Clean_Data!H59&gt;30)</f>
        <v>0</v>
      </c>
      <c r="S59" s="5" t="str">
        <f>IF(B59=TRUE(),IF(AND(ISNUMBER(Clean_Data!N59),ISNUMBER(Clean_Data!M59),Clean_Data!M59&gt;0),IF(Clean_Data!N59&lt;=Clean_Data!M59*1.2,"Healthy","Over Budget"),"N/A"),IF(AND(Clean_Data!K59="In Progress",ISNUMBER(Clean_Data!L59)),IF(Clean_Data!L59&gt;=0.5,"On Track","Slow"),"N/A"))</f>
        <v>N/A</v>
      </c>
      <c r="T59" s="5" t="str">
        <f>IF(AND(B59=TRUE(),ISNUMBER(Clean_Data!J59),ISNUMBER(Clean_Data!I59)),Clean_Data!J59&lt;=Clean_Data!I59,"")</f>
        <v/>
      </c>
      <c r="U59" s="20" t="b">
        <f>IF(NOT(ISNUMBER(Clean_Data!L59)),FALSE(),AND(Clean_Data!L59&gt;=0,Clean_Data!L59&lt;=1))</f>
        <v>0</v>
      </c>
    </row>
    <row r="60" spans="1:21" x14ac:dyDescent="0.3">
      <c r="A60" s="2" t="str">
        <f>Clean_Data!A60</f>
        <v>TSK-0059</v>
      </c>
      <c r="B60" s="19" t="b">
        <f>Clean_Data!K60="Completed"</f>
        <v>0</v>
      </c>
      <c r="C60" s="19" t="b">
        <f>OR(Clean_Data!K60="Not Started",Clean_Data!K60="In Progress",Clean_Data!K60="On Hold")</f>
        <v>1</v>
      </c>
      <c r="D60" s="19" t="b">
        <f ca="1">AND(ISNUMBER(Clean_Data!I60),Clean_Data!I60&lt;TODAY(),Clean_Data!K60&lt;&gt;"Completed",Clean_Data!K60&lt;&gt;"Cancelled")</f>
        <v>1</v>
      </c>
      <c r="E60" s="2">
        <f ca="1">IF(AND(ISNUMBER(Clean_Data!H60),Clean_Data!K60&lt;&gt;"Completed",Clean_Data!K60&lt;&gt;"Cancelled"),TODAY()-Clean_Data!H60,"")</f>
        <v>784</v>
      </c>
      <c r="F60" s="2">
        <f ca="1">IF(AND(B60=TRUE(),ISNUMBER(Clean_Data!J60),ISNUMBER(Clean_Data!I60)),MAX(0,Clean_Data!J60-Clean_Data!I60),IF(AND(B60=FALSE(),ISNUMBER(Clean_Data!I60),Clean_Data!I60&lt;TODAY(),Clean_Data!K60&lt;&gt;"Cancelled"),MAX(0,TODAY()-Clean_Data!I60),""))</f>
        <v>749</v>
      </c>
      <c r="G60" s="2" t="str">
        <f>IF(AND(B60=TRUE(),ISNUMBER(Clean_Data!J60),ISNUMBER(Clean_Data!H60)),Clean_Data!J60-Clean_Data!H60,"")</f>
        <v/>
      </c>
      <c r="H60" s="2">
        <f ca="1">IF(AND(ISNUMBER(Clean_Data!J60),ISNUMBER(Clean_Data!H60)),Clean_Data!J60-Clean_Data!H60,IF(ISNUMBER(Clean_Data!H60),TODAY()-Clean_Data!H60,""))</f>
        <v>784</v>
      </c>
      <c r="I60" s="2" t="str">
        <f>IF(ISNUMBER(Clean_Data!I60),TEXT(Clean_Data!I60,"YYYY-MM"),"")</f>
        <v>2024-03</v>
      </c>
      <c r="J60" s="2" t="str">
        <f>IF(ISNUMBER(Clean_Data!H60),TEXT(Clean_Data!H60,"YYYY-MM"),"")</f>
        <v>2024-02</v>
      </c>
      <c r="K60" s="2" t="str">
        <f>IF(ISNUMBER(Clean_Data!J60),TEXT(Clean_Data!J60,"YYYY-MM"),"")</f>
        <v/>
      </c>
      <c r="L60" s="2">
        <f>IF(ISNUMBER(Clean_Data!H60),YEAR(Clean_Data!H60),"")</f>
        <v>2024</v>
      </c>
      <c r="M60" s="2">
        <f>IF(ISNUMBER(Clean_Data!H60),MONTH(Clean_Data!H60),"")</f>
        <v>2</v>
      </c>
      <c r="N60" s="2" t="str">
        <f>IF(ISNUMBER(Clean_Data!H60),TEXT(Clean_Data!H60,"MMMM"),"")</f>
        <v>February</v>
      </c>
      <c r="O60" s="19" t="b">
        <f t="shared" ca="1" si="1"/>
        <v>1</v>
      </c>
      <c r="P60" s="19" t="b">
        <f>AND(OR(Clean_Data!F60="High",Clean_Data!F60="Critical"),C60=TRUE())</f>
        <v>0</v>
      </c>
      <c r="Q60" s="19" t="b">
        <f ca="1">AND(OR(Clean_Data!F60="High",Clean_Data!F60="Critical"),D60=TRUE())</f>
        <v>0</v>
      </c>
      <c r="R60" s="19" t="b">
        <f ca="1">AND(Clean_Data!K60="In Progress",ISNUMBER(Clean_Data!H60),TODAY()-Clean_Data!H60&gt;30)</f>
        <v>0</v>
      </c>
      <c r="S60" s="2" t="str">
        <f>IF(B60=TRUE(),IF(AND(ISNUMBER(Clean_Data!N60),ISNUMBER(Clean_Data!M60),Clean_Data!M60&gt;0),IF(Clean_Data!N60&lt;=Clean_Data!M60*1.2,"Healthy","Over Budget"),"N/A"),IF(AND(Clean_Data!K60="In Progress",ISNUMBER(Clean_Data!L60)),IF(Clean_Data!L60&gt;=0.5,"On Track","Slow"),"N/A"))</f>
        <v>N/A</v>
      </c>
      <c r="T60" s="2" t="str">
        <f>IF(AND(B60=TRUE(),ISNUMBER(Clean_Data!J60),ISNUMBER(Clean_Data!I60)),Clean_Data!J60&lt;=Clean_Data!I60,"")</f>
        <v/>
      </c>
      <c r="U60" s="19" t="b">
        <f>IF(NOT(ISNUMBER(Clean_Data!L60)),FALSE(),AND(Clean_Data!L60&gt;=0,Clean_Data!L60&lt;=1))</f>
        <v>0</v>
      </c>
    </row>
    <row r="61" spans="1:21" x14ac:dyDescent="0.3">
      <c r="A61" s="5" t="str">
        <f>Clean_Data!A61</f>
        <v>TSK-0060</v>
      </c>
      <c r="B61" s="20" t="b">
        <f>Clean_Data!K61="Completed"</f>
        <v>1</v>
      </c>
      <c r="C61" s="20" t="b">
        <f>OR(Clean_Data!K61="Not Started",Clean_Data!K61="In Progress",Clean_Data!K61="On Hold")</f>
        <v>0</v>
      </c>
      <c r="D61" s="20" t="b">
        <f ca="1">AND(ISNUMBER(Clean_Data!I61),Clean_Data!I61&lt;TODAY(),Clean_Data!K61&lt;&gt;"Completed",Clean_Data!K61&lt;&gt;"Cancelled")</f>
        <v>0</v>
      </c>
      <c r="E61" s="5" t="str">
        <f ca="1">IF(AND(ISNUMBER(Clean_Data!H61),Clean_Data!K61&lt;&gt;"Completed",Clean_Data!K61&lt;&gt;"Cancelled"),TODAY()-Clean_Data!H61,"")</f>
        <v/>
      </c>
      <c r="F61" s="5">
        <f ca="1">IF(AND(B61=TRUE(),ISNUMBER(Clean_Data!J61),ISNUMBER(Clean_Data!I61)),MAX(0,Clean_Data!J61-Clean_Data!I61),IF(AND(B61=FALSE(),ISNUMBER(Clean_Data!I61),Clean_Data!I61&lt;TODAY(),Clean_Data!K61&lt;&gt;"Cancelled"),MAX(0,TODAY()-Clean_Data!I61),""))</f>
        <v>4</v>
      </c>
      <c r="G61" s="5">
        <f>IF(AND(B61=TRUE(),ISNUMBER(Clean_Data!J61),ISNUMBER(Clean_Data!H61)),Clean_Data!J61-Clean_Data!H61,"")</f>
        <v>44</v>
      </c>
      <c r="H61" s="5">
        <f ca="1">IF(AND(ISNUMBER(Clean_Data!J61),ISNUMBER(Clean_Data!H61)),Clean_Data!J61-Clean_Data!H61,IF(ISNUMBER(Clean_Data!H61),TODAY()-Clean_Data!H61,""))</f>
        <v>44</v>
      </c>
      <c r="I61" s="5" t="str">
        <f>IF(ISNUMBER(Clean_Data!I61),TEXT(Clean_Data!I61,"YYYY-MM"),"")</f>
        <v>2025-03</v>
      </c>
      <c r="J61" s="5" t="str">
        <f>IF(ISNUMBER(Clean_Data!H61),TEXT(Clean_Data!H61,"YYYY-MM"),"")</f>
        <v>2025-01</v>
      </c>
      <c r="K61" s="5" t="str">
        <f>IF(ISNUMBER(Clean_Data!J61),TEXT(Clean_Data!J61,"YYYY-MM"),"")</f>
        <v>2025-03</v>
      </c>
      <c r="L61" s="5">
        <f>IF(ISNUMBER(Clean_Data!H61),YEAR(Clean_Data!H61),"")</f>
        <v>2025</v>
      </c>
      <c r="M61" s="5">
        <f>IF(ISNUMBER(Clean_Data!H61),MONTH(Clean_Data!H61),"")</f>
        <v>1</v>
      </c>
      <c r="N61" s="5" t="str">
        <f>IF(ISNUMBER(Clean_Data!H61),TEXT(Clean_Data!H61,"MMMM"),"")</f>
        <v>January</v>
      </c>
      <c r="O61" s="20" t="b">
        <f t="shared" ca="1" si="1"/>
        <v>0</v>
      </c>
      <c r="P61" s="20" t="b">
        <f>AND(OR(Clean_Data!F61="High",Clean_Data!F61="Critical"),C61=TRUE())</f>
        <v>0</v>
      </c>
      <c r="Q61" s="20" t="b">
        <f ca="1">AND(OR(Clean_Data!F61="High",Clean_Data!F61="Critical"),D61=TRUE())</f>
        <v>0</v>
      </c>
      <c r="R61" s="20" t="b">
        <f ca="1">AND(Clean_Data!K61="In Progress",ISNUMBER(Clean_Data!H61),TODAY()-Clean_Data!H61&gt;30)</f>
        <v>0</v>
      </c>
      <c r="S61" s="5" t="str">
        <f>IF(B61=TRUE(),IF(AND(ISNUMBER(Clean_Data!N61),ISNUMBER(Clean_Data!M61),Clean_Data!M61&gt;0),IF(Clean_Data!N61&lt;=Clean_Data!M61*1.2,"Healthy","Over Budget"),"N/A"),IF(AND(Clean_Data!K61="In Progress",ISNUMBER(Clean_Data!L61)),IF(Clean_Data!L61&gt;=0.5,"On Track","Slow"),"N/A"))</f>
        <v>Healthy</v>
      </c>
      <c r="T61" s="20" t="b">
        <f>IF(AND(B61=TRUE(),ISNUMBER(Clean_Data!J61),ISNUMBER(Clean_Data!I61)),Clean_Data!J61&lt;=Clean_Data!I61,"")</f>
        <v>0</v>
      </c>
      <c r="U61" s="20" t="b">
        <f>IF(NOT(ISNUMBER(Clean_Data!L61)),FALSE(),AND(Clean_Data!L61&gt;=0,Clean_Data!L61&lt;=1))</f>
        <v>1</v>
      </c>
    </row>
    <row r="62" spans="1:21" x14ac:dyDescent="0.3">
      <c r="A62" s="2" t="str">
        <f>Clean_Data!A62</f>
        <v>TSK-0061</v>
      </c>
      <c r="B62" s="19" t="b">
        <f>Clean_Data!K62="Completed"</f>
        <v>0</v>
      </c>
      <c r="C62" s="19" t="b">
        <f>OR(Clean_Data!K62="Not Started",Clean_Data!K62="In Progress",Clean_Data!K62="On Hold")</f>
        <v>0</v>
      </c>
      <c r="D62" s="19" t="b">
        <f ca="1">AND(ISNUMBER(Clean_Data!I62),Clean_Data!I62&lt;TODAY(),Clean_Data!K62&lt;&gt;"Completed",Clean_Data!K62&lt;&gt;"Cancelled")</f>
        <v>0</v>
      </c>
      <c r="E62" s="2" t="str">
        <f ca="1">IF(AND(ISNUMBER(Clean_Data!H62),Clean_Data!K62&lt;&gt;"Completed",Clean_Data!K62&lt;&gt;"Cancelled"),TODAY()-Clean_Data!H62,"")</f>
        <v/>
      </c>
      <c r="F62" s="2" t="str">
        <f ca="1">IF(AND(B62=TRUE(),ISNUMBER(Clean_Data!J62),ISNUMBER(Clean_Data!I62)),MAX(0,Clean_Data!J62-Clean_Data!I62),IF(AND(B62=FALSE(),ISNUMBER(Clean_Data!I62),Clean_Data!I62&lt;TODAY(),Clean_Data!K62&lt;&gt;"Cancelled"),MAX(0,TODAY()-Clean_Data!I62),""))</f>
        <v/>
      </c>
      <c r="G62" s="2" t="str">
        <f>IF(AND(B62=TRUE(),ISNUMBER(Clean_Data!J62),ISNUMBER(Clean_Data!H62)),Clean_Data!J62-Clean_Data!H62,"")</f>
        <v/>
      </c>
      <c r="H62" s="2">
        <f ca="1">IF(AND(ISNUMBER(Clean_Data!J62),ISNUMBER(Clean_Data!H62)),Clean_Data!J62-Clean_Data!H62,IF(ISNUMBER(Clean_Data!H62),TODAY()-Clean_Data!H62,""))</f>
        <v>645</v>
      </c>
      <c r="I62" s="2" t="str">
        <f>IF(ISNUMBER(Clean_Data!I62),TEXT(Clean_Data!I62,"YYYY-MM"),"")</f>
        <v>2024-08</v>
      </c>
      <c r="J62" s="2" t="str">
        <f>IF(ISNUMBER(Clean_Data!H62),TEXT(Clean_Data!H62,"YYYY-MM"),"")</f>
        <v>2024-07</v>
      </c>
      <c r="K62" s="2" t="str">
        <f>IF(ISNUMBER(Clean_Data!J62),TEXT(Clean_Data!J62,"YYYY-MM"),"")</f>
        <v/>
      </c>
      <c r="L62" s="2">
        <f>IF(ISNUMBER(Clean_Data!H62),YEAR(Clean_Data!H62),"")</f>
        <v>2024</v>
      </c>
      <c r="M62" s="2">
        <f>IF(ISNUMBER(Clean_Data!H62),MONTH(Clean_Data!H62),"")</f>
        <v>7</v>
      </c>
      <c r="N62" s="2" t="str">
        <f>IF(ISNUMBER(Clean_Data!H62),TEXT(Clean_Data!H62,"MMMM"),"")</f>
        <v>July</v>
      </c>
      <c r="O62" s="19" t="b">
        <f t="shared" ca="1" si="1"/>
        <v>0</v>
      </c>
      <c r="P62" s="19" t="b">
        <f>AND(OR(Clean_Data!F62="High",Clean_Data!F62="Critical"),C62=TRUE())</f>
        <v>0</v>
      </c>
      <c r="Q62" s="19" t="b">
        <f ca="1">AND(OR(Clean_Data!F62="High",Clean_Data!F62="Critical"),D62=TRUE())</f>
        <v>0</v>
      </c>
      <c r="R62" s="19" t="b">
        <f ca="1">AND(Clean_Data!K62="In Progress",ISNUMBER(Clean_Data!H62),TODAY()-Clean_Data!H62&gt;30)</f>
        <v>0</v>
      </c>
      <c r="S62" s="2" t="str">
        <f>IF(B62=TRUE(),IF(AND(ISNUMBER(Clean_Data!N62),ISNUMBER(Clean_Data!M62),Clean_Data!M62&gt;0),IF(Clean_Data!N62&lt;=Clean_Data!M62*1.2,"Healthy","Over Budget"),"N/A"),IF(AND(Clean_Data!K62="In Progress",ISNUMBER(Clean_Data!L62)),IF(Clean_Data!L62&gt;=0.5,"On Track","Slow"),"N/A"))</f>
        <v>N/A</v>
      </c>
      <c r="T62" s="2" t="str">
        <f>IF(AND(B62=TRUE(),ISNUMBER(Clean_Data!J62),ISNUMBER(Clean_Data!I62)),Clean_Data!J62&lt;=Clean_Data!I62,"")</f>
        <v/>
      </c>
      <c r="U62" s="19" t="b">
        <f>IF(NOT(ISNUMBER(Clean_Data!L62)),FALSE(),AND(Clean_Data!L62&gt;=0,Clean_Data!L62&lt;=1))</f>
        <v>0</v>
      </c>
    </row>
    <row r="63" spans="1:21" x14ac:dyDescent="0.3">
      <c r="A63" s="5" t="str">
        <f>Clean_Data!A63</f>
        <v>TSK-0062</v>
      </c>
      <c r="B63" s="20" t="b">
        <f>Clean_Data!K63="Completed"</f>
        <v>0</v>
      </c>
      <c r="C63" s="20" t="b">
        <f>OR(Clean_Data!K63="Not Started",Clean_Data!K63="In Progress",Clean_Data!K63="On Hold")</f>
        <v>1</v>
      </c>
      <c r="D63" s="20" t="b">
        <f ca="1">AND(ISNUMBER(Clean_Data!I63),Clean_Data!I63&lt;TODAY(),Clean_Data!K63&lt;&gt;"Completed",Clean_Data!K63&lt;&gt;"Cancelled")</f>
        <v>1</v>
      </c>
      <c r="E63" s="5">
        <f ca="1">IF(AND(ISNUMBER(Clean_Data!H63),Clean_Data!K63&lt;&gt;"Completed",Clean_Data!K63&lt;&gt;"Cancelled"),TODAY()-Clean_Data!H63,"")</f>
        <v>768</v>
      </c>
      <c r="F63" s="5">
        <f ca="1">IF(AND(B63=TRUE(),ISNUMBER(Clean_Data!J63),ISNUMBER(Clean_Data!I63)),MAX(0,Clean_Data!J63-Clean_Data!I63),IF(AND(B63=FALSE(),ISNUMBER(Clean_Data!I63),Clean_Data!I63&lt;TODAY(),Clean_Data!K63&lt;&gt;"Cancelled"),MAX(0,TODAY()-Clean_Data!I63),""))</f>
        <v>762</v>
      </c>
      <c r="G63" s="5" t="str">
        <f>IF(AND(B63=TRUE(),ISNUMBER(Clean_Data!J63),ISNUMBER(Clean_Data!H63)),Clean_Data!J63-Clean_Data!H63,"")</f>
        <v/>
      </c>
      <c r="H63" s="5">
        <f ca="1">IF(AND(ISNUMBER(Clean_Data!J63),ISNUMBER(Clean_Data!H63)),Clean_Data!J63-Clean_Data!H63,IF(ISNUMBER(Clean_Data!H63),TODAY()-Clean_Data!H63,""))</f>
        <v>768</v>
      </c>
      <c r="I63" s="5" t="str">
        <f>IF(ISNUMBER(Clean_Data!I63),TEXT(Clean_Data!I63,"YYYY-MM"),"")</f>
        <v>2024-03</v>
      </c>
      <c r="J63" s="5" t="str">
        <f>IF(ISNUMBER(Clean_Data!H63),TEXT(Clean_Data!H63,"YYYY-MM"),"")</f>
        <v>2024-03</v>
      </c>
      <c r="K63" s="5" t="str">
        <f>IF(ISNUMBER(Clean_Data!J63),TEXT(Clean_Data!J63,"YYYY-MM"),"")</f>
        <v/>
      </c>
      <c r="L63" s="5">
        <f>IF(ISNUMBER(Clean_Data!H63),YEAR(Clean_Data!H63),"")</f>
        <v>2024</v>
      </c>
      <c r="M63" s="5">
        <f>IF(ISNUMBER(Clean_Data!H63),MONTH(Clean_Data!H63),"")</f>
        <v>3</v>
      </c>
      <c r="N63" s="5" t="str">
        <f>IF(ISNUMBER(Clean_Data!H63),TEXT(Clean_Data!H63,"MMMM"),"")</f>
        <v>March</v>
      </c>
      <c r="O63" s="20" t="b">
        <f t="shared" ca="1" si="1"/>
        <v>1</v>
      </c>
      <c r="P63" s="20" t="b">
        <f>AND(OR(Clean_Data!F63="High",Clean_Data!F63="Critical"),C63=TRUE())</f>
        <v>0</v>
      </c>
      <c r="Q63" s="20" t="b">
        <f ca="1">AND(OR(Clean_Data!F63="High",Clean_Data!F63="Critical"),D63=TRUE())</f>
        <v>0</v>
      </c>
      <c r="R63" s="20" t="b">
        <f ca="1">AND(Clean_Data!K63="In Progress",ISNUMBER(Clean_Data!H63),TODAY()-Clean_Data!H63&gt;30)</f>
        <v>1</v>
      </c>
      <c r="S63" s="5" t="str">
        <f>IF(B63=TRUE(),IF(AND(ISNUMBER(Clean_Data!N63),ISNUMBER(Clean_Data!M63),Clean_Data!M63&gt;0),IF(Clean_Data!N63&lt;=Clean_Data!M63*1.2,"Healthy","Over Budget"),"N/A"),IF(AND(Clean_Data!K63="In Progress",ISNUMBER(Clean_Data!L63)),IF(Clean_Data!L63&gt;=0.5,"On Track","Slow"),"N/A"))</f>
        <v>Slow</v>
      </c>
      <c r="T63" s="5" t="str">
        <f>IF(AND(B63=TRUE(),ISNUMBER(Clean_Data!J63),ISNUMBER(Clean_Data!I63)),Clean_Data!J63&lt;=Clean_Data!I63,"")</f>
        <v/>
      </c>
      <c r="U63" s="20" t="b">
        <f>IF(NOT(ISNUMBER(Clean_Data!L63)),FALSE(),AND(Clean_Data!L63&gt;=0,Clean_Data!L63&lt;=1))</f>
        <v>1</v>
      </c>
    </row>
    <row r="64" spans="1:21" x14ac:dyDescent="0.3">
      <c r="A64" s="2" t="str">
        <f>Clean_Data!A64</f>
        <v>TSK-0063</v>
      </c>
      <c r="B64" s="19" t="b">
        <f>Clean_Data!K64="Completed"</f>
        <v>0</v>
      </c>
      <c r="C64" s="19" t="b">
        <f>OR(Clean_Data!K64="Not Started",Clean_Data!K64="In Progress",Clean_Data!K64="On Hold")</f>
        <v>0</v>
      </c>
      <c r="D64" s="19" t="b">
        <f ca="1">AND(ISNUMBER(Clean_Data!I64),Clean_Data!I64&lt;TODAY(),Clean_Data!K64&lt;&gt;"Completed",Clean_Data!K64&lt;&gt;"Cancelled")</f>
        <v>0</v>
      </c>
      <c r="E64" s="2" t="str">
        <f ca="1">IF(AND(ISNUMBER(Clean_Data!H64),Clean_Data!K64&lt;&gt;"Completed",Clean_Data!K64&lt;&gt;"Cancelled"),TODAY()-Clean_Data!H64,"")</f>
        <v/>
      </c>
      <c r="F64" s="2" t="str">
        <f ca="1">IF(AND(B64=TRUE(),ISNUMBER(Clean_Data!J64),ISNUMBER(Clean_Data!I64)),MAX(0,Clean_Data!J64-Clean_Data!I64),IF(AND(B64=FALSE(),ISNUMBER(Clean_Data!I64),Clean_Data!I64&lt;TODAY(),Clean_Data!K64&lt;&gt;"Cancelled"),MAX(0,TODAY()-Clean_Data!I64),""))</f>
        <v/>
      </c>
      <c r="G64" s="2" t="str">
        <f>IF(AND(B64=TRUE(),ISNUMBER(Clean_Data!J64),ISNUMBER(Clean_Data!H64)),Clean_Data!J64-Clean_Data!H64,"")</f>
        <v/>
      </c>
      <c r="H64" s="2">
        <f ca="1">IF(AND(ISNUMBER(Clean_Data!J64),ISNUMBER(Clean_Data!H64)),Clean_Data!J64-Clean_Data!H64,IF(ISNUMBER(Clean_Data!H64),TODAY()-Clean_Data!H64,""))</f>
        <v>618</v>
      </c>
      <c r="I64" s="2" t="str">
        <f>IF(ISNUMBER(Clean_Data!I64),TEXT(Clean_Data!I64,"YYYY-MM"),"")</f>
        <v>2024-10</v>
      </c>
      <c r="J64" s="2" t="str">
        <f>IF(ISNUMBER(Clean_Data!H64),TEXT(Clean_Data!H64,"YYYY-MM"),"")</f>
        <v>2024-08</v>
      </c>
      <c r="K64" s="2" t="str">
        <f>IF(ISNUMBER(Clean_Data!J64),TEXT(Clean_Data!J64,"YYYY-MM"),"")</f>
        <v/>
      </c>
      <c r="L64" s="2">
        <f>IF(ISNUMBER(Clean_Data!H64),YEAR(Clean_Data!H64),"")</f>
        <v>2024</v>
      </c>
      <c r="M64" s="2">
        <f>IF(ISNUMBER(Clean_Data!H64),MONTH(Clean_Data!H64),"")</f>
        <v>8</v>
      </c>
      <c r="N64" s="2" t="str">
        <f>IF(ISNUMBER(Clean_Data!H64),TEXT(Clean_Data!H64,"MMMM"),"")</f>
        <v>August</v>
      </c>
      <c r="O64" s="19" t="b">
        <f t="shared" ca="1" si="1"/>
        <v>0</v>
      </c>
      <c r="P64" s="19" t="b">
        <f>AND(OR(Clean_Data!F64="High",Clean_Data!F64="Critical"),C64=TRUE())</f>
        <v>0</v>
      </c>
      <c r="Q64" s="19" t="b">
        <f ca="1">AND(OR(Clean_Data!F64="High",Clean_Data!F64="Critical"),D64=TRUE())</f>
        <v>0</v>
      </c>
      <c r="R64" s="19" t="b">
        <f ca="1">AND(Clean_Data!K64="In Progress",ISNUMBER(Clean_Data!H64),TODAY()-Clean_Data!H64&gt;30)</f>
        <v>0</v>
      </c>
      <c r="S64" s="2" t="str">
        <f>IF(B64=TRUE(),IF(AND(ISNUMBER(Clean_Data!N64),ISNUMBER(Clean_Data!M64),Clean_Data!M64&gt;0),IF(Clean_Data!N64&lt;=Clean_Data!M64*1.2,"Healthy","Over Budget"),"N/A"),IF(AND(Clean_Data!K64="In Progress",ISNUMBER(Clean_Data!L64)),IF(Clean_Data!L64&gt;=0.5,"On Track","Slow"),"N/A"))</f>
        <v>N/A</v>
      </c>
      <c r="T64" s="2" t="str">
        <f>IF(AND(B64=TRUE(),ISNUMBER(Clean_Data!J64),ISNUMBER(Clean_Data!I64)),Clean_Data!J64&lt;=Clean_Data!I64,"")</f>
        <v/>
      </c>
      <c r="U64" s="19" t="b">
        <f>IF(NOT(ISNUMBER(Clean_Data!L64)),FALSE(),AND(Clean_Data!L64&gt;=0,Clean_Data!L64&lt;=1))</f>
        <v>0</v>
      </c>
    </row>
    <row r="65" spans="1:21" x14ac:dyDescent="0.3">
      <c r="A65" s="5" t="str">
        <f>Clean_Data!A65</f>
        <v>TSK-0064</v>
      </c>
      <c r="B65" s="20" t="b">
        <f>Clean_Data!K65="Completed"</f>
        <v>0</v>
      </c>
      <c r="C65" s="20" t="b">
        <f>OR(Clean_Data!K65="Not Started",Clean_Data!K65="In Progress",Clean_Data!K65="On Hold")</f>
        <v>1</v>
      </c>
      <c r="D65" s="20" t="b">
        <f ca="1">AND(ISNUMBER(Clean_Data!I65),Clean_Data!I65&lt;TODAY(),Clean_Data!K65&lt;&gt;"Completed",Clean_Data!K65&lt;&gt;"Cancelled")</f>
        <v>1</v>
      </c>
      <c r="E65" s="5">
        <f ca="1">IF(AND(ISNUMBER(Clean_Data!H65),Clean_Data!K65&lt;&gt;"Completed",Clean_Data!K65&lt;&gt;"Cancelled"),TODAY()-Clean_Data!H65,"")</f>
        <v>689</v>
      </c>
      <c r="F65" s="5">
        <f ca="1">IF(AND(B65=TRUE(),ISNUMBER(Clean_Data!J65),ISNUMBER(Clean_Data!I65)),MAX(0,Clean_Data!J65-Clean_Data!I65),IF(AND(B65=FALSE(),ISNUMBER(Clean_Data!I65),Clean_Data!I65&lt;TODAY(),Clean_Data!K65&lt;&gt;"Cancelled"),MAX(0,TODAY()-Clean_Data!I65),""))</f>
        <v>635</v>
      </c>
      <c r="G65" s="5" t="str">
        <f>IF(AND(B65=TRUE(),ISNUMBER(Clean_Data!J65),ISNUMBER(Clean_Data!H65)),Clean_Data!J65-Clean_Data!H65,"")</f>
        <v/>
      </c>
      <c r="H65" s="5">
        <f ca="1">IF(AND(ISNUMBER(Clean_Data!J65),ISNUMBER(Clean_Data!H65)),Clean_Data!J65-Clean_Data!H65,IF(ISNUMBER(Clean_Data!H65),TODAY()-Clean_Data!H65,""))</f>
        <v>689</v>
      </c>
      <c r="I65" s="5" t="str">
        <f>IF(ISNUMBER(Clean_Data!I65),TEXT(Clean_Data!I65,"YYYY-MM"),"")</f>
        <v>2024-07</v>
      </c>
      <c r="J65" s="5" t="str">
        <f>IF(ISNUMBER(Clean_Data!H65),TEXT(Clean_Data!H65,"YYYY-MM"),"")</f>
        <v>2024-05</v>
      </c>
      <c r="K65" s="5" t="str">
        <f>IF(ISNUMBER(Clean_Data!J65),TEXT(Clean_Data!J65,"YYYY-MM"),"")</f>
        <v/>
      </c>
      <c r="L65" s="5">
        <f>IF(ISNUMBER(Clean_Data!H65),YEAR(Clean_Data!H65),"")</f>
        <v>2024</v>
      </c>
      <c r="M65" s="5">
        <f>IF(ISNUMBER(Clean_Data!H65),MONTH(Clean_Data!H65),"")</f>
        <v>5</v>
      </c>
      <c r="N65" s="5" t="str">
        <f>IF(ISNUMBER(Clean_Data!H65),TEXT(Clean_Data!H65,"MMMM"),"")</f>
        <v>May</v>
      </c>
      <c r="O65" s="20" t="b">
        <f t="shared" ca="1" si="1"/>
        <v>1</v>
      </c>
      <c r="P65" s="20" t="b">
        <f>AND(OR(Clean_Data!F65="High",Clean_Data!F65="Critical"),C65=TRUE())</f>
        <v>1</v>
      </c>
      <c r="Q65" s="20" t="b">
        <f ca="1">AND(OR(Clean_Data!F65="High",Clean_Data!F65="Critical"),D65=TRUE())</f>
        <v>1</v>
      </c>
      <c r="R65" s="20" t="b">
        <f ca="1">AND(Clean_Data!K65="In Progress",ISNUMBER(Clean_Data!H65),TODAY()-Clean_Data!H65&gt;30)</f>
        <v>0</v>
      </c>
      <c r="S65" s="5" t="str">
        <f>IF(B65=TRUE(),IF(AND(ISNUMBER(Clean_Data!N65),ISNUMBER(Clean_Data!M65),Clean_Data!M65&gt;0),IF(Clean_Data!N65&lt;=Clean_Data!M65*1.2,"Healthy","Over Budget"),"N/A"),IF(AND(Clean_Data!K65="In Progress",ISNUMBER(Clean_Data!L65)),IF(Clean_Data!L65&gt;=0.5,"On Track","Slow"),"N/A"))</f>
        <v>N/A</v>
      </c>
      <c r="T65" s="5" t="str">
        <f>IF(AND(B65=TRUE(),ISNUMBER(Clean_Data!J65),ISNUMBER(Clean_Data!I65)),Clean_Data!J65&lt;=Clean_Data!I65,"")</f>
        <v/>
      </c>
      <c r="U65" s="20" t="b">
        <f>IF(NOT(ISNUMBER(Clean_Data!L65)),FALSE(),AND(Clean_Data!L65&gt;=0,Clean_Data!L65&lt;=1))</f>
        <v>0</v>
      </c>
    </row>
    <row r="66" spans="1:21" x14ac:dyDescent="0.3">
      <c r="A66" s="2" t="str">
        <f>Clean_Data!A66</f>
        <v>TSK-0065</v>
      </c>
      <c r="B66" s="19" t="b">
        <f>Clean_Data!K66="Completed"</f>
        <v>0</v>
      </c>
      <c r="C66" s="19" t="b">
        <f>OR(Clean_Data!K66="Not Started",Clean_Data!K66="In Progress",Clean_Data!K66="On Hold")</f>
        <v>1</v>
      </c>
      <c r="D66" s="19" t="b">
        <f ca="1">AND(ISNUMBER(Clean_Data!I66),Clean_Data!I66&lt;TODAY(),Clean_Data!K66&lt;&gt;"Completed",Clean_Data!K66&lt;&gt;"Cancelled")</f>
        <v>1</v>
      </c>
      <c r="E66" s="2">
        <f ca="1">IF(AND(ISNUMBER(Clean_Data!H66),Clean_Data!K66&lt;&gt;"Completed",Clean_Data!K66&lt;&gt;"Cancelled"),TODAY()-Clean_Data!H66,"")</f>
        <v>654</v>
      </c>
      <c r="F66" s="2">
        <f ca="1">IF(AND(B66=TRUE(),ISNUMBER(Clean_Data!J66),ISNUMBER(Clean_Data!I66)),MAX(0,Clean_Data!J66-Clean_Data!I66),IF(AND(B66=FALSE(),ISNUMBER(Clean_Data!I66),Clean_Data!I66&lt;TODAY(),Clean_Data!K66&lt;&gt;"Cancelled"),MAX(0,TODAY()-Clean_Data!I66),""))</f>
        <v>628</v>
      </c>
      <c r="G66" s="2" t="str">
        <f>IF(AND(B66=TRUE(),ISNUMBER(Clean_Data!J66),ISNUMBER(Clean_Data!H66)),Clean_Data!J66-Clean_Data!H66,"")</f>
        <v/>
      </c>
      <c r="H66" s="2">
        <f ca="1">IF(AND(ISNUMBER(Clean_Data!J66),ISNUMBER(Clean_Data!H66)),Clean_Data!J66-Clean_Data!H66,IF(ISNUMBER(Clean_Data!H66),TODAY()-Clean_Data!H66,""))</f>
        <v>654</v>
      </c>
      <c r="I66" s="2" t="str">
        <f>IF(ISNUMBER(Clean_Data!I66),TEXT(Clean_Data!I66,"YYYY-MM"),"")</f>
        <v>2024-07</v>
      </c>
      <c r="J66" s="2" t="str">
        <f>IF(ISNUMBER(Clean_Data!H66),TEXT(Clean_Data!H66,"YYYY-MM"),"")</f>
        <v>2024-06</v>
      </c>
      <c r="K66" s="2" t="str">
        <f>IF(ISNUMBER(Clean_Data!J66),TEXT(Clean_Data!J66,"YYYY-MM"),"")</f>
        <v/>
      </c>
      <c r="L66" s="2">
        <f>IF(ISNUMBER(Clean_Data!H66),YEAR(Clean_Data!H66),"")</f>
        <v>2024</v>
      </c>
      <c r="M66" s="2">
        <f>IF(ISNUMBER(Clean_Data!H66),MONTH(Clean_Data!H66),"")</f>
        <v>6</v>
      </c>
      <c r="N66" s="2" t="str">
        <f>IF(ISNUMBER(Clean_Data!H66),TEXT(Clean_Data!H66,"MMMM"),"")</f>
        <v>June</v>
      </c>
      <c r="O66" s="19" t="b">
        <f t="shared" ref="O66:O97" ca="1" si="2">D66</f>
        <v>1</v>
      </c>
      <c r="P66" s="19" t="b">
        <f>AND(OR(Clean_Data!F66="High",Clean_Data!F66="Critical"),C66=TRUE())</f>
        <v>0</v>
      </c>
      <c r="Q66" s="19" t="b">
        <f ca="1">AND(OR(Clean_Data!F66="High",Clean_Data!F66="Critical"),D66=TRUE())</f>
        <v>0</v>
      </c>
      <c r="R66" s="19" t="b">
        <f ca="1">AND(Clean_Data!K66="In Progress",ISNUMBER(Clean_Data!H66),TODAY()-Clean_Data!H66&gt;30)</f>
        <v>0</v>
      </c>
      <c r="S66" s="2" t="str">
        <f>IF(B66=TRUE(),IF(AND(ISNUMBER(Clean_Data!N66),ISNUMBER(Clean_Data!M66),Clean_Data!M66&gt;0),IF(Clean_Data!N66&lt;=Clean_Data!M66*1.2,"Healthy","Over Budget"),"N/A"),IF(AND(Clean_Data!K66="In Progress",ISNUMBER(Clean_Data!L66)),IF(Clean_Data!L66&gt;=0.5,"On Track","Slow"),"N/A"))</f>
        <v>N/A</v>
      </c>
      <c r="T66" s="2" t="str">
        <f>IF(AND(B66=TRUE(),ISNUMBER(Clean_Data!J66),ISNUMBER(Clean_Data!I66)),Clean_Data!J66&lt;=Clean_Data!I66,"")</f>
        <v/>
      </c>
      <c r="U66" s="19" t="b">
        <f>IF(NOT(ISNUMBER(Clean_Data!L66)),FALSE(),AND(Clean_Data!L66&gt;=0,Clean_Data!L66&lt;=1))</f>
        <v>0</v>
      </c>
    </row>
    <row r="67" spans="1:21" x14ac:dyDescent="0.3">
      <c r="A67" s="5" t="str">
        <f>Clean_Data!A67</f>
        <v>TSK-0066</v>
      </c>
      <c r="B67" s="20" t="b">
        <f>Clean_Data!K67="Completed"</f>
        <v>0</v>
      </c>
      <c r="C67" s="20" t="b">
        <f>OR(Clean_Data!K67="Not Started",Clean_Data!K67="In Progress",Clean_Data!K67="On Hold")</f>
        <v>1</v>
      </c>
      <c r="D67" s="20" t="b">
        <f ca="1">AND(ISNUMBER(Clean_Data!I67),Clean_Data!I67&lt;TODAY(),Clean_Data!K67&lt;&gt;"Completed",Clean_Data!K67&lt;&gt;"Cancelled")</f>
        <v>1</v>
      </c>
      <c r="E67" s="5">
        <f ca="1">IF(AND(ISNUMBER(Clean_Data!H67),Clean_Data!K67&lt;&gt;"Completed",Clean_Data!K67&lt;&gt;"Cancelled"),TODAY()-Clean_Data!H67,"")</f>
        <v>449</v>
      </c>
      <c r="F67" s="5">
        <f ca="1">IF(AND(B67=TRUE(),ISNUMBER(Clean_Data!J67),ISNUMBER(Clean_Data!I67)),MAX(0,Clean_Data!J67-Clean_Data!I67),IF(AND(B67=FALSE(),ISNUMBER(Clean_Data!I67),Clean_Data!I67&lt;TODAY(),Clean_Data!K67&lt;&gt;"Cancelled"),MAX(0,TODAY()-Clean_Data!I67),""))</f>
        <v>414</v>
      </c>
      <c r="G67" s="5" t="str">
        <f>IF(AND(B67=TRUE(),ISNUMBER(Clean_Data!J67),ISNUMBER(Clean_Data!H67)),Clean_Data!J67-Clean_Data!H67,"")</f>
        <v/>
      </c>
      <c r="H67" s="5">
        <f ca="1">IF(AND(ISNUMBER(Clean_Data!J67),ISNUMBER(Clean_Data!H67)),Clean_Data!J67-Clean_Data!H67,IF(ISNUMBER(Clean_Data!H67),TODAY()-Clean_Data!H67,""))</f>
        <v>449</v>
      </c>
      <c r="I67" s="5" t="str">
        <f>IF(ISNUMBER(Clean_Data!I67),TEXT(Clean_Data!I67,"YYYY-MM"),"")</f>
        <v>2025-02</v>
      </c>
      <c r="J67" s="5" t="str">
        <f>IF(ISNUMBER(Clean_Data!H67),TEXT(Clean_Data!H67,"YYYY-MM"),"")</f>
        <v>2025-01</v>
      </c>
      <c r="K67" s="5" t="str">
        <f>IF(ISNUMBER(Clean_Data!J67),TEXT(Clean_Data!J67,"YYYY-MM"),"")</f>
        <v/>
      </c>
      <c r="L67" s="5">
        <f>IF(ISNUMBER(Clean_Data!H67),YEAR(Clean_Data!H67),"")</f>
        <v>2025</v>
      </c>
      <c r="M67" s="5">
        <f>IF(ISNUMBER(Clean_Data!H67),MONTH(Clean_Data!H67),"")</f>
        <v>1</v>
      </c>
      <c r="N67" s="5" t="str">
        <f>IF(ISNUMBER(Clean_Data!H67),TEXT(Clean_Data!H67,"MMMM"),"")</f>
        <v>January</v>
      </c>
      <c r="O67" s="20" t="b">
        <f t="shared" ca="1" si="2"/>
        <v>1</v>
      </c>
      <c r="P67" s="20" t="b">
        <f>AND(OR(Clean_Data!F67="High",Clean_Data!F67="Critical"),C67=TRUE())</f>
        <v>1</v>
      </c>
      <c r="Q67" s="20" t="b">
        <f ca="1">AND(OR(Clean_Data!F67="High",Clean_Data!F67="Critical"),D67=TRUE())</f>
        <v>1</v>
      </c>
      <c r="R67" s="20" t="b">
        <f ca="1">AND(Clean_Data!K67="In Progress",ISNUMBER(Clean_Data!H67),TODAY()-Clean_Data!H67&gt;30)</f>
        <v>0</v>
      </c>
      <c r="S67" s="5" t="str">
        <f>IF(B67=TRUE(),IF(AND(ISNUMBER(Clean_Data!N67),ISNUMBER(Clean_Data!M67),Clean_Data!M67&gt;0),IF(Clean_Data!N67&lt;=Clean_Data!M67*1.2,"Healthy","Over Budget"),"N/A"),IF(AND(Clean_Data!K67="In Progress",ISNUMBER(Clean_Data!L67)),IF(Clean_Data!L67&gt;=0.5,"On Track","Slow"),"N/A"))</f>
        <v>N/A</v>
      </c>
      <c r="T67" s="5" t="str">
        <f>IF(AND(B67=TRUE(),ISNUMBER(Clean_Data!J67),ISNUMBER(Clean_Data!I67)),Clean_Data!J67&lt;=Clean_Data!I67,"")</f>
        <v/>
      </c>
      <c r="U67" s="20" t="b">
        <f>IF(NOT(ISNUMBER(Clean_Data!L67)),FALSE(),AND(Clean_Data!L67&gt;=0,Clean_Data!L67&lt;=1))</f>
        <v>0</v>
      </c>
    </row>
    <row r="68" spans="1:21" x14ac:dyDescent="0.3">
      <c r="A68" s="2" t="str">
        <f>Clean_Data!A68</f>
        <v>TSK-0067</v>
      </c>
      <c r="B68" s="19" t="b">
        <f>Clean_Data!K68="Completed"</f>
        <v>0</v>
      </c>
      <c r="C68" s="19" t="b">
        <f>OR(Clean_Data!K68="Not Started",Clean_Data!K68="In Progress",Clean_Data!K68="On Hold")</f>
        <v>0</v>
      </c>
      <c r="D68" s="19" t="b">
        <f ca="1">AND(ISNUMBER(Clean_Data!I68),Clean_Data!I68&lt;TODAY(),Clean_Data!K68&lt;&gt;"Completed",Clean_Data!K68&lt;&gt;"Cancelled")</f>
        <v>0</v>
      </c>
      <c r="E68" s="2" t="str">
        <f ca="1">IF(AND(ISNUMBER(Clean_Data!H68),Clean_Data!K68&lt;&gt;"Completed",Clean_Data!K68&lt;&gt;"Cancelled"),TODAY()-Clean_Data!H68,"")</f>
        <v/>
      </c>
      <c r="F68" s="2" t="str">
        <f ca="1">IF(AND(B68=TRUE(),ISNUMBER(Clean_Data!J68),ISNUMBER(Clean_Data!I68)),MAX(0,Clean_Data!J68-Clean_Data!I68),IF(AND(B68=FALSE(),ISNUMBER(Clean_Data!I68),Clean_Data!I68&lt;TODAY(),Clean_Data!K68&lt;&gt;"Cancelled"),MAX(0,TODAY()-Clean_Data!I68),""))</f>
        <v/>
      </c>
      <c r="G68" s="2" t="str">
        <f>IF(AND(B68=TRUE(),ISNUMBER(Clean_Data!J68),ISNUMBER(Clean_Data!H68)),Clean_Data!J68-Clean_Data!H68,"")</f>
        <v/>
      </c>
      <c r="H68" s="2">
        <f ca="1">IF(AND(ISNUMBER(Clean_Data!J68),ISNUMBER(Clean_Data!H68)),Clean_Data!J68-Clean_Data!H68,IF(ISNUMBER(Clean_Data!H68),TODAY()-Clean_Data!H68,""))</f>
        <v>605</v>
      </c>
      <c r="I68" s="2" t="str">
        <f>IF(ISNUMBER(Clean_Data!I68),TEXT(Clean_Data!I68,"YYYY-MM"),"")</f>
        <v>2024-08</v>
      </c>
      <c r="J68" s="2" t="str">
        <f>IF(ISNUMBER(Clean_Data!H68),TEXT(Clean_Data!H68,"YYYY-MM"),"")</f>
        <v>2024-08</v>
      </c>
      <c r="K68" s="2" t="str">
        <f>IF(ISNUMBER(Clean_Data!J68),TEXT(Clean_Data!J68,"YYYY-MM"),"")</f>
        <v/>
      </c>
      <c r="L68" s="2">
        <f>IF(ISNUMBER(Clean_Data!H68),YEAR(Clean_Data!H68),"")</f>
        <v>2024</v>
      </c>
      <c r="M68" s="2">
        <f>IF(ISNUMBER(Clean_Data!H68),MONTH(Clean_Data!H68),"")</f>
        <v>8</v>
      </c>
      <c r="N68" s="2" t="str">
        <f>IF(ISNUMBER(Clean_Data!H68),TEXT(Clean_Data!H68,"MMMM"),"")</f>
        <v>August</v>
      </c>
      <c r="O68" s="19" t="b">
        <f t="shared" ca="1" si="2"/>
        <v>0</v>
      </c>
      <c r="P68" s="19" t="b">
        <f>AND(OR(Clean_Data!F68="High",Clean_Data!F68="Critical"),C68=TRUE())</f>
        <v>0</v>
      </c>
      <c r="Q68" s="19" t="b">
        <f ca="1">AND(OR(Clean_Data!F68="High",Clean_Data!F68="Critical"),D68=TRUE())</f>
        <v>0</v>
      </c>
      <c r="R68" s="19" t="b">
        <f ca="1">AND(Clean_Data!K68="In Progress",ISNUMBER(Clean_Data!H68),TODAY()-Clean_Data!H68&gt;30)</f>
        <v>0</v>
      </c>
      <c r="S68" s="2" t="str">
        <f>IF(B68=TRUE(),IF(AND(ISNUMBER(Clean_Data!N68),ISNUMBER(Clean_Data!M68),Clean_Data!M68&gt;0),IF(Clean_Data!N68&lt;=Clean_Data!M68*1.2,"Healthy","Over Budget"),"N/A"),IF(AND(Clean_Data!K68="In Progress",ISNUMBER(Clean_Data!L68)),IF(Clean_Data!L68&gt;=0.5,"On Track","Slow"),"N/A"))</f>
        <v>N/A</v>
      </c>
      <c r="T68" s="2" t="str">
        <f>IF(AND(B68=TRUE(),ISNUMBER(Clean_Data!J68),ISNUMBER(Clean_Data!I68)),Clean_Data!J68&lt;=Clean_Data!I68,"")</f>
        <v/>
      </c>
      <c r="U68" s="19" t="b">
        <f>IF(NOT(ISNUMBER(Clean_Data!L68)),FALSE(),AND(Clean_Data!L68&gt;=0,Clean_Data!L68&lt;=1))</f>
        <v>0</v>
      </c>
    </row>
    <row r="69" spans="1:21" x14ac:dyDescent="0.3">
      <c r="A69" s="5" t="str">
        <f>Clean_Data!A69</f>
        <v>TSK-0068</v>
      </c>
      <c r="B69" s="20" t="b">
        <f>Clean_Data!K69="Completed"</f>
        <v>0</v>
      </c>
      <c r="C69" s="20" t="b">
        <f>OR(Clean_Data!K69="Not Started",Clean_Data!K69="In Progress",Clean_Data!K69="On Hold")</f>
        <v>1</v>
      </c>
      <c r="D69" s="20" t="b">
        <f ca="1">AND(ISNUMBER(Clean_Data!I69),Clean_Data!I69&lt;TODAY(),Clean_Data!K69&lt;&gt;"Completed",Clean_Data!K69&lt;&gt;"Cancelled")</f>
        <v>1</v>
      </c>
      <c r="E69" s="5">
        <f ca="1">IF(AND(ISNUMBER(Clean_Data!H69),Clean_Data!K69&lt;&gt;"Completed",Clean_Data!K69&lt;&gt;"Cancelled"),TODAY()-Clean_Data!H69,"")</f>
        <v>498</v>
      </c>
      <c r="F69" s="5">
        <f ca="1">IF(AND(B69=TRUE(),ISNUMBER(Clean_Data!J69),ISNUMBER(Clean_Data!I69)),MAX(0,Clean_Data!J69-Clean_Data!I69),IF(AND(B69=FALSE(),ISNUMBER(Clean_Data!I69),Clean_Data!I69&lt;TODAY(),Clean_Data!K69&lt;&gt;"Cancelled"),MAX(0,TODAY()-Clean_Data!I69),""))</f>
        <v>488</v>
      </c>
      <c r="G69" s="5" t="str">
        <f>IF(AND(B69=TRUE(),ISNUMBER(Clean_Data!J69),ISNUMBER(Clean_Data!H69)),Clean_Data!J69-Clean_Data!H69,"")</f>
        <v/>
      </c>
      <c r="H69" s="5">
        <f ca="1">IF(AND(ISNUMBER(Clean_Data!J69),ISNUMBER(Clean_Data!H69)),Clean_Data!J69-Clean_Data!H69,IF(ISNUMBER(Clean_Data!H69),TODAY()-Clean_Data!H69,""))</f>
        <v>498</v>
      </c>
      <c r="I69" s="5" t="str">
        <f>IF(ISNUMBER(Clean_Data!I69),TEXT(Clean_Data!I69,"YYYY-MM"),"")</f>
        <v>2024-12</v>
      </c>
      <c r="J69" s="5" t="str">
        <f>IF(ISNUMBER(Clean_Data!H69),TEXT(Clean_Data!H69,"YYYY-MM"),"")</f>
        <v>2024-12</v>
      </c>
      <c r="K69" s="5" t="str">
        <f>IF(ISNUMBER(Clean_Data!J69),TEXT(Clean_Data!J69,"YYYY-MM"),"")</f>
        <v/>
      </c>
      <c r="L69" s="5">
        <f>IF(ISNUMBER(Clean_Data!H69),YEAR(Clean_Data!H69),"")</f>
        <v>2024</v>
      </c>
      <c r="M69" s="5">
        <f>IF(ISNUMBER(Clean_Data!H69),MONTH(Clean_Data!H69),"")</f>
        <v>12</v>
      </c>
      <c r="N69" s="5" t="str">
        <f>IF(ISNUMBER(Clean_Data!H69),TEXT(Clean_Data!H69,"MMMM"),"")</f>
        <v>December</v>
      </c>
      <c r="O69" s="20" t="b">
        <f t="shared" ca="1" si="2"/>
        <v>1</v>
      </c>
      <c r="P69" s="20" t="b">
        <f>AND(OR(Clean_Data!F69="High",Clean_Data!F69="Critical"),C69=TRUE())</f>
        <v>0</v>
      </c>
      <c r="Q69" s="20" t="b">
        <f ca="1">AND(OR(Clean_Data!F69="High",Clean_Data!F69="Critical"),D69=TRUE())</f>
        <v>0</v>
      </c>
      <c r="R69" s="20" t="b">
        <f ca="1">AND(Clean_Data!K69="In Progress",ISNUMBER(Clean_Data!H69),TODAY()-Clean_Data!H69&gt;30)</f>
        <v>0</v>
      </c>
      <c r="S69" s="5" t="str">
        <f>IF(B69=TRUE(),IF(AND(ISNUMBER(Clean_Data!N69),ISNUMBER(Clean_Data!M69),Clean_Data!M69&gt;0),IF(Clean_Data!N69&lt;=Clean_Data!M69*1.2,"Healthy","Over Budget"),"N/A"),IF(AND(Clean_Data!K69="In Progress",ISNUMBER(Clean_Data!L69)),IF(Clean_Data!L69&gt;=0.5,"On Track","Slow"),"N/A"))</f>
        <v>N/A</v>
      </c>
      <c r="T69" s="5" t="str">
        <f>IF(AND(B69=TRUE(),ISNUMBER(Clean_Data!J69),ISNUMBER(Clean_Data!I69)),Clean_Data!J69&lt;=Clean_Data!I69,"")</f>
        <v/>
      </c>
      <c r="U69" s="20" t="b">
        <f>IF(NOT(ISNUMBER(Clean_Data!L69)),FALSE(),AND(Clean_Data!L69&gt;=0,Clean_Data!L69&lt;=1))</f>
        <v>0</v>
      </c>
    </row>
    <row r="70" spans="1:21" x14ac:dyDescent="0.3">
      <c r="A70" s="2" t="str">
        <f>Clean_Data!A70</f>
        <v>TSK-0069</v>
      </c>
      <c r="B70" s="19" t="b">
        <f>Clean_Data!K70="Completed"</f>
        <v>1</v>
      </c>
      <c r="C70" s="19" t="b">
        <f>OR(Clean_Data!K70="Not Started",Clean_Data!K70="In Progress",Clean_Data!K70="On Hold")</f>
        <v>0</v>
      </c>
      <c r="D70" s="19" t="b">
        <f ca="1">AND(ISNUMBER(Clean_Data!I70),Clean_Data!I70&lt;TODAY(),Clean_Data!K70&lt;&gt;"Completed",Clean_Data!K70&lt;&gt;"Cancelled")</f>
        <v>0</v>
      </c>
      <c r="E70" s="2" t="str">
        <f ca="1">IF(AND(ISNUMBER(Clean_Data!H70),Clean_Data!K70&lt;&gt;"Completed",Clean_Data!K70&lt;&gt;"Cancelled"),TODAY()-Clean_Data!H70,"")</f>
        <v/>
      </c>
      <c r="F70" s="2">
        <f ca="1">IF(AND(B70=TRUE(),ISNUMBER(Clean_Data!J70),ISNUMBER(Clean_Data!I70)),MAX(0,Clean_Data!J70-Clean_Data!I70),IF(AND(B70=FALSE(),ISNUMBER(Clean_Data!I70),Clean_Data!I70&lt;TODAY(),Clean_Data!K70&lt;&gt;"Cancelled"),MAX(0,TODAY()-Clean_Data!I70),""))</f>
        <v>3</v>
      </c>
      <c r="G70" s="2">
        <f>IF(AND(B70=TRUE(),ISNUMBER(Clean_Data!J70),ISNUMBER(Clean_Data!H70)),Clean_Data!J70-Clean_Data!H70,"")</f>
        <v>55</v>
      </c>
      <c r="H70" s="2">
        <f ca="1">IF(AND(ISNUMBER(Clean_Data!J70),ISNUMBER(Clean_Data!H70)),Clean_Data!J70-Clean_Data!H70,IF(ISNUMBER(Clean_Data!H70),TODAY()-Clean_Data!H70,""))</f>
        <v>55</v>
      </c>
      <c r="I70" s="2" t="str">
        <f>IF(ISNUMBER(Clean_Data!I70),TEXT(Clean_Data!I70,"YYYY-MM"),"")</f>
        <v>2024-06</v>
      </c>
      <c r="J70" s="2" t="str">
        <f>IF(ISNUMBER(Clean_Data!H70),TEXT(Clean_Data!H70,"YYYY-MM"),"")</f>
        <v>2024-04</v>
      </c>
      <c r="K70" s="2" t="str">
        <f>IF(ISNUMBER(Clean_Data!J70),TEXT(Clean_Data!J70,"YYYY-MM"),"")</f>
        <v>2024-06</v>
      </c>
      <c r="L70" s="2">
        <f>IF(ISNUMBER(Clean_Data!H70),YEAR(Clean_Data!H70),"")</f>
        <v>2024</v>
      </c>
      <c r="M70" s="2">
        <f>IF(ISNUMBER(Clean_Data!H70),MONTH(Clean_Data!H70),"")</f>
        <v>4</v>
      </c>
      <c r="N70" s="2" t="str">
        <f>IF(ISNUMBER(Clean_Data!H70),TEXT(Clean_Data!H70,"MMMM"),"")</f>
        <v>April</v>
      </c>
      <c r="O70" s="19" t="b">
        <f t="shared" ca="1" si="2"/>
        <v>0</v>
      </c>
      <c r="P70" s="19" t="b">
        <f>AND(OR(Clean_Data!F70="High",Clean_Data!F70="Critical"),C70=TRUE())</f>
        <v>0</v>
      </c>
      <c r="Q70" s="19" t="b">
        <f ca="1">AND(OR(Clean_Data!F70="High",Clean_Data!F70="Critical"),D70=TRUE())</f>
        <v>0</v>
      </c>
      <c r="R70" s="19" t="b">
        <f ca="1">AND(Clean_Data!K70="In Progress",ISNUMBER(Clean_Data!H70),TODAY()-Clean_Data!H70&gt;30)</f>
        <v>0</v>
      </c>
      <c r="S70" s="2" t="str">
        <f>IF(B70=TRUE(),IF(AND(ISNUMBER(Clean_Data!N70),ISNUMBER(Clean_Data!M70),Clean_Data!M70&gt;0),IF(Clean_Data!N70&lt;=Clean_Data!M70*1.2,"Healthy","Over Budget"),"N/A"),IF(AND(Clean_Data!K70="In Progress",ISNUMBER(Clean_Data!L70)),IF(Clean_Data!L70&gt;=0.5,"On Track","Slow"),"N/A"))</f>
        <v>Over Budget</v>
      </c>
      <c r="T70" s="19" t="b">
        <f>IF(AND(B70=TRUE(),ISNUMBER(Clean_Data!J70),ISNUMBER(Clean_Data!I70)),Clean_Data!J70&lt;=Clean_Data!I70,"")</f>
        <v>0</v>
      </c>
      <c r="U70" s="19" t="b">
        <f>IF(NOT(ISNUMBER(Clean_Data!L70)),FALSE(),AND(Clean_Data!L70&gt;=0,Clean_Data!L70&lt;=1))</f>
        <v>1</v>
      </c>
    </row>
    <row r="71" spans="1:21" x14ac:dyDescent="0.3">
      <c r="A71" s="5" t="str">
        <f>Clean_Data!A71</f>
        <v>TSK-0070</v>
      </c>
      <c r="B71" s="20" t="b">
        <f>Clean_Data!K71="Completed"</f>
        <v>0</v>
      </c>
      <c r="C71" s="20" t="b">
        <f>OR(Clean_Data!K71="Not Started",Clean_Data!K71="In Progress",Clean_Data!K71="On Hold")</f>
        <v>1</v>
      </c>
      <c r="D71" s="20" t="b">
        <f ca="1">AND(ISNUMBER(Clean_Data!I71),Clean_Data!I71&lt;TODAY(),Clean_Data!K71&lt;&gt;"Completed",Clean_Data!K71&lt;&gt;"Cancelled")</f>
        <v>1</v>
      </c>
      <c r="E71" s="5">
        <f ca="1">IF(AND(ISNUMBER(Clean_Data!H71),Clean_Data!K71&lt;&gt;"Completed",Clean_Data!K71&lt;&gt;"Cancelled"),TODAY()-Clean_Data!H71,"")</f>
        <v>680</v>
      </c>
      <c r="F71" s="5">
        <f ca="1">IF(AND(B71=TRUE(),ISNUMBER(Clean_Data!J71),ISNUMBER(Clean_Data!I71)),MAX(0,Clean_Data!J71-Clean_Data!I71),IF(AND(B71=FALSE(),ISNUMBER(Clean_Data!I71),Clean_Data!I71&lt;TODAY(),Clean_Data!K71&lt;&gt;"Cancelled"),MAX(0,TODAY()-Clean_Data!I71),""))</f>
        <v>653</v>
      </c>
      <c r="G71" s="5" t="str">
        <f>IF(AND(B71=TRUE(),ISNUMBER(Clean_Data!J71),ISNUMBER(Clean_Data!H71)),Clean_Data!J71-Clean_Data!H71,"")</f>
        <v/>
      </c>
      <c r="H71" s="5">
        <f ca="1">IF(AND(ISNUMBER(Clean_Data!J71),ISNUMBER(Clean_Data!H71)),Clean_Data!J71-Clean_Data!H71,IF(ISNUMBER(Clean_Data!H71),TODAY()-Clean_Data!H71,""))</f>
        <v>680</v>
      </c>
      <c r="I71" s="5" t="str">
        <f>IF(ISNUMBER(Clean_Data!I71),TEXT(Clean_Data!I71,"YYYY-MM"),"")</f>
        <v>2024-06</v>
      </c>
      <c r="J71" s="5" t="str">
        <f>IF(ISNUMBER(Clean_Data!H71),TEXT(Clean_Data!H71,"YYYY-MM"),"")</f>
        <v>2024-06</v>
      </c>
      <c r="K71" s="5" t="str">
        <f>IF(ISNUMBER(Clean_Data!J71),TEXT(Clean_Data!J71,"YYYY-MM"),"")</f>
        <v/>
      </c>
      <c r="L71" s="5">
        <f>IF(ISNUMBER(Clean_Data!H71),YEAR(Clean_Data!H71),"")</f>
        <v>2024</v>
      </c>
      <c r="M71" s="5">
        <f>IF(ISNUMBER(Clean_Data!H71),MONTH(Clean_Data!H71),"")</f>
        <v>6</v>
      </c>
      <c r="N71" s="5" t="str">
        <f>IF(ISNUMBER(Clean_Data!H71),TEXT(Clean_Data!H71,"MMMM"),"")</f>
        <v>June</v>
      </c>
      <c r="O71" s="20" t="b">
        <f t="shared" ca="1" si="2"/>
        <v>1</v>
      </c>
      <c r="P71" s="20" t="b">
        <f>AND(OR(Clean_Data!F71="High",Clean_Data!F71="Critical"),C71=TRUE())</f>
        <v>1</v>
      </c>
      <c r="Q71" s="20" t="b">
        <f ca="1">AND(OR(Clean_Data!F71="High",Clean_Data!F71="Critical"),D71=TRUE())</f>
        <v>1</v>
      </c>
      <c r="R71" s="20" t="b">
        <f ca="1">AND(Clean_Data!K71="In Progress",ISNUMBER(Clean_Data!H71),TODAY()-Clean_Data!H71&gt;30)</f>
        <v>0</v>
      </c>
      <c r="S71" s="5" t="str">
        <f>IF(B71=TRUE(),IF(AND(ISNUMBER(Clean_Data!N71),ISNUMBER(Clean_Data!M71),Clean_Data!M71&gt;0),IF(Clean_Data!N71&lt;=Clean_Data!M71*1.2,"Healthy","Over Budget"),"N/A"),IF(AND(Clean_Data!K71="In Progress",ISNUMBER(Clean_Data!L71)),IF(Clean_Data!L71&gt;=0.5,"On Track","Slow"),"N/A"))</f>
        <v>N/A</v>
      </c>
      <c r="T71" s="5" t="str">
        <f>IF(AND(B71=TRUE(),ISNUMBER(Clean_Data!J71),ISNUMBER(Clean_Data!I71)),Clean_Data!J71&lt;=Clean_Data!I71,"")</f>
        <v/>
      </c>
      <c r="U71" s="20" t="b">
        <f>IF(NOT(ISNUMBER(Clean_Data!L71)),FALSE(),AND(Clean_Data!L71&gt;=0,Clean_Data!L71&lt;=1))</f>
        <v>0</v>
      </c>
    </row>
    <row r="72" spans="1:21" x14ac:dyDescent="0.3">
      <c r="A72" s="2" t="str">
        <f>Clean_Data!A72</f>
        <v>TSK-0071</v>
      </c>
      <c r="B72" s="19" t="b">
        <f>Clean_Data!K72="Completed"</f>
        <v>0</v>
      </c>
      <c r="C72" s="19" t="b">
        <f>OR(Clean_Data!K72="Not Started",Clean_Data!K72="In Progress",Clean_Data!K72="On Hold")</f>
        <v>1</v>
      </c>
      <c r="D72" s="19" t="b">
        <f ca="1">AND(ISNUMBER(Clean_Data!I72),Clean_Data!I72&lt;TODAY(),Clean_Data!K72&lt;&gt;"Completed",Clean_Data!K72&lt;&gt;"Cancelled")</f>
        <v>1</v>
      </c>
      <c r="E72" s="2">
        <f ca="1">IF(AND(ISNUMBER(Clean_Data!H72),Clean_Data!K72&lt;&gt;"Completed",Clean_Data!K72&lt;&gt;"Cancelled"),TODAY()-Clean_Data!H72,"")</f>
        <v>513</v>
      </c>
      <c r="F72" s="2">
        <f ca="1">IF(AND(B72=TRUE(),ISNUMBER(Clean_Data!J72),ISNUMBER(Clean_Data!I72)),MAX(0,Clean_Data!J72-Clean_Data!I72),IF(AND(B72=FALSE(),ISNUMBER(Clean_Data!I72),Clean_Data!I72&lt;TODAY(),Clean_Data!K72&lt;&gt;"Cancelled"),MAX(0,TODAY()-Clean_Data!I72),""))</f>
        <v>465</v>
      </c>
      <c r="G72" s="2" t="str">
        <f>IF(AND(B72=TRUE(),ISNUMBER(Clean_Data!J72),ISNUMBER(Clean_Data!H72)),Clean_Data!J72-Clean_Data!H72,"")</f>
        <v/>
      </c>
      <c r="H72" s="2">
        <f ca="1">IF(AND(ISNUMBER(Clean_Data!J72),ISNUMBER(Clean_Data!H72)),Clean_Data!J72-Clean_Data!H72,IF(ISNUMBER(Clean_Data!H72),TODAY()-Clean_Data!H72,""))</f>
        <v>513</v>
      </c>
      <c r="I72" s="2" t="str">
        <f>IF(ISNUMBER(Clean_Data!I72),TEXT(Clean_Data!I72,"YYYY-MM"),"")</f>
        <v>2025-01</v>
      </c>
      <c r="J72" s="2" t="str">
        <f>IF(ISNUMBER(Clean_Data!H72),TEXT(Clean_Data!H72,"YYYY-MM"),"")</f>
        <v>2024-11</v>
      </c>
      <c r="K72" s="2" t="str">
        <f>IF(ISNUMBER(Clean_Data!J72),TEXT(Clean_Data!J72,"YYYY-MM"),"")</f>
        <v/>
      </c>
      <c r="L72" s="2">
        <f>IF(ISNUMBER(Clean_Data!H72),YEAR(Clean_Data!H72),"")</f>
        <v>2024</v>
      </c>
      <c r="M72" s="2">
        <f>IF(ISNUMBER(Clean_Data!H72),MONTH(Clean_Data!H72),"")</f>
        <v>11</v>
      </c>
      <c r="N72" s="2" t="str">
        <f>IF(ISNUMBER(Clean_Data!H72),TEXT(Clean_Data!H72,"MMMM"),"")</f>
        <v>November</v>
      </c>
      <c r="O72" s="19" t="b">
        <f t="shared" ca="1" si="2"/>
        <v>1</v>
      </c>
      <c r="P72" s="19" t="b">
        <f>AND(OR(Clean_Data!F72="High",Clean_Data!F72="Critical"),C72=TRUE())</f>
        <v>0</v>
      </c>
      <c r="Q72" s="19" t="b">
        <f ca="1">AND(OR(Clean_Data!F72="High",Clean_Data!F72="Critical"),D72=TRUE())</f>
        <v>0</v>
      </c>
      <c r="R72" s="19" t="b">
        <f ca="1">AND(Clean_Data!K72="In Progress",ISNUMBER(Clean_Data!H72),TODAY()-Clean_Data!H72&gt;30)</f>
        <v>1</v>
      </c>
      <c r="S72" s="2" t="str">
        <f>IF(B72=TRUE(),IF(AND(ISNUMBER(Clean_Data!N72),ISNUMBER(Clean_Data!M72),Clean_Data!M72&gt;0),IF(Clean_Data!N72&lt;=Clean_Data!M72*1.2,"Healthy","Over Budget"),"N/A"),IF(AND(Clean_Data!K72="In Progress",ISNUMBER(Clean_Data!L72)),IF(Clean_Data!L72&gt;=0.5,"On Track","Slow"),"N/A"))</f>
        <v>On Track</v>
      </c>
      <c r="T72" s="2" t="str">
        <f>IF(AND(B72=TRUE(),ISNUMBER(Clean_Data!J72),ISNUMBER(Clean_Data!I72)),Clean_Data!J72&lt;=Clean_Data!I72,"")</f>
        <v/>
      </c>
      <c r="U72" s="19" t="b">
        <f>IF(NOT(ISNUMBER(Clean_Data!L72)),FALSE(),AND(Clean_Data!L72&gt;=0,Clean_Data!L72&lt;=1))</f>
        <v>1</v>
      </c>
    </row>
    <row r="73" spans="1:21" x14ac:dyDescent="0.3">
      <c r="A73" s="5" t="str">
        <f>Clean_Data!A73</f>
        <v>TSK-0072</v>
      </c>
      <c r="B73" s="20" t="b">
        <f>Clean_Data!K73="Completed"</f>
        <v>0</v>
      </c>
      <c r="C73" s="20" t="b">
        <f>OR(Clean_Data!K73="Not Started",Clean_Data!K73="In Progress",Clean_Data!K73="On Hold")</f>
        <v>1</v>
      </c>
      <c r="D73" s="20" t="b">
        <f ca="1">AND(ISNUMBER(Clean_Data!I73),Clean_Data!I73&lt;TODAY(),Clean_Data!K73&lt;&gt;"Completed",Clean_Data!K73&lt;&gt;"Cancelled")</f>
        <v>1</v>
      </c>
      <c r="E73" s="5">
        <f ca="1">IF(AND(ISNUMBER(Clean_Data!H73),Clean_Data!K73&lt;&gt;"Completed",Clean_Data!K73&lt;&gt;"Cancelled"),TODAY()-Clean_Data!H73,"")</f>
        <v>654</v>
      </c>
      <c r="F73" s="5">
        <f ca="1">IF(AND(B73=TRUE(),ISNUMBER(Clean_Data!J73),ISNUMBER(Clean_Data!I73)),MAX(0,Clean_Data!J73-Clean_Data!I73),IF(AND(B73=FALSE(),ISNUMBER(Clean_Data!I73),Clean_Data!I73&lt;TODAY(),Clean_Data!K73&lt;&gt;"Cancelled"),MAX(0,TODAY()-Clean_Data!I73),""))</f>
        <v>612</v>
      </c>
      <c r="G73" s="5" t="str">
        <f>IF(AND(B73=TRUE(),ISNUMBER(Clean_Data!J73),ISNUMBER(Clean_Data!H73)),Clean_Data!J73-Clean_Data!H73,"")</f>
        <v/>
      </c>
      <c r="H73" s="5">
        <f ca="1">IF(AND(ISNUMBER(Clean_Data!J73),ISNUMBER(Clean_Data!H73)),Clean_Data!J73-Clean_Data!H73,IF(ISNUMBER(Clean_Data!H73),TODAY()-Clean_Data!H73,""))</f>
        <v>654</v>
      </c>
      <c r="I73" s="5" t="str">
        <f>IF(ISNUMBER(Clean_Data!I73),TEXT(Clean_Data!I73,"YYYY-MM"),"")</f>
        <v>2024-08</v>
      </c>
      <c r="J73" s="5" t="str">
        <f>IF(ISNUMBER(Clean_Data!H73),TEXT(Clean_Data!H73,"YYYY-MM"),"")</f>
        <v>2024-06</v>
      </c>
      <c r="K73" s="5" t="str">
        <f>IF(ISNUMBER(Clean_Data!J73),TEXT(Clean_Data!J73,"YYYY-MM"),"")</f>
        <v/>
      </c>
      <c r="L73" s="5">
        <f>IF(ISNUMBER(Clean_Data!H73),YEAR(Clean_Data!H73),"")</f>
        <v>2024</v>
      </c>
      <c r="M73" s="5">
        <f>IF(ISNUMBER(Clean_Data!H73),MONTH(Clean_Data!H73),"")</f>
        <v>6</v>
      </c>
      <c r="N73" s="5" t="str">
        <f>IF(ISNUMBER(Clean_Data!H73),TEXT(Clean_Data!H73,"MMMM"),"")</f>
        <v>June</v>
      </c>
      <c r="O73" s="20" t="b">
        <f t="shared" ca="1" si="2"/>
        <v>1</v>
      </c>
      <c r="P73" s="20" t="b">
        <f>AND(OR(Clean_Data!F73="High",Clean_Data!F73="Critical"),C73=TRUE())</f>
        <v>1</v>
      </c>
      <c r="Q73" s="20" t="b">
        <f ca="1">AND(OR(Clean_Data!F73="High",Clean_Data!F73="Critical"),D73=TRUE())</f>
        <v>1</v>
      </c>
      <c r="R73" s="20" t="b">
        <f ca="1">AND(Clean_Data!K73="In Progress",ISNUMBER(Clean_Data!H73),TODAY()-Clean_Data!H73&gt;30)</f>
        <v>0</v>
      </c>
      <c r="S73" s="5" t="str">
        <f>IF(B73=TRUE(),IF(AND(ISNUMBER(Clean_Data!N73),ISNUMBER(Clean_Data!M73),Clean_Data!M73&gt;0),IF(Clean_Data!N73&lt;=Clean_Data!M73*1.2,"Healthy","Over Budget"),"N/A"),IF(AND(Clean_Data!K73="In Progress",ISNUMBER(Clean_Data!L73)),IF(Clean_Data!L73&gt;=0.5,"On Track","Slow"),"N/A"))</f>
        <v>N/A</v>
      </c>
      <c r="T73" s="5" t="str">
        <f>IF(AND(B73=TRUE(),ISNUMBER(Clean_Data!J73),ISNUMBER(Clean_Data!I73)),Clean_Data!J73&lt;=Clean_Data!I73,"")</f>
        <v/>
      </c>
      <c r="U73" s="20" t="b">
        <f>IF(NOT(ISNUMBER(Clean_Data!L73)),FALSE(),AND(Clean_Data!L73&gt;=0,Clean_Data!L73&lt;=1))</f>
        <v>0</v>
      </c>
    </row>
    <row r="74" spans="1:21" x14ac:dyDescent="0.3">
      <c r="A74" s="2" t="str">
        <f>Clean_Data!A74</f>
        <v>TSK-0073</v>
      </c>
      <c r="B74" s="19" t="b">
        <f>Clean_Data!K74="Completed"</f>
        <v>0</v>
      </c>
      <c r="C74" s="19" t="b">
        <f>OR(Clean_Data!K74="Not Started",Clean_Data!K74="In Progress",Clean_Data!K74="On Hold")</f>
        <v>1</v>
      </c>
      <c r="D74" s="19" t="b">
        <f ca="1">AND(ISNUMBER(Clean_Data!I74),Clean_Data!I74&lt;TODAY(),Clean_Data!K74&lt;&gt;"Completed",Clean_Data!K74&lt;&gt;"Cancelled")</f>
        <v>1</v>
      </c>
      <c r="E74" s="2">
        <f ca="1">IF(AND(ISNUMBER(Clean_Data!H74),Clean_Data!K74&lt;&gt;"Completed",Clean_Data!K74&lt;&gt;"Cancelled"),TODAY()-Clean_Data!H74,"")</f>
        <v>536</v>
      </c>
      <c r="F74" s="2">
        <f ca="1">IF(AND(B74=TRUE(),ISNUMBER(Clean_Data!J74),ISNUMBER(Clean_Data!I74)),MAX(0,Clean_Data!J74-Clean_Data!I74),IF(AND(B74=FALSE(),ISNUMBER(Clean_Data!I74),Clean_Data!I74&lt;TODAY(),Clean_Data!K74&lt;&gt;"Cancelled"),MAX(0,TODAY()-Clean_Data!I74),""))</f>
        <v>513</v>
      </c>
      <c r="G74" s="2" t="str">
        <f>IF(AND(B74=TRUE(),ISNUMBER(Clean_Data!J74),ISNUMBER(Clean_Data!H74)),Clean_Data!J74-Clean_Data!H74,"")</f>
        <v/>
      </c>
      <c r="H74" s="2">
        <f ca="1">IF(AND(ISNUMBER(Clean_Data!J74),ISNUMBER(Clean_Data!H74)),Clean_Data!J74-Clean_Data!H74,IF(ISNUMBER(Clean_Data!H74),TODAY()-Clean_Data!H74,""))</f>
        <v>536</v>
      </c>
      <c r="I74" s="2" t="str">
        <f>IF(ISNUMBER(Clean_Data!I74),TEXT(Clean_Data!I74,"YYYY-MM"),"")</f>
        <v>2024-11</v>
      </c>
      <c r="J74" s="2" t="str">
        <f>IF(ISNUMBER(Clean_Data!H74),TEXT(Clean_Data!H74,"YYYY-MM"),"")</f>
        <v>2024-10</v>
      </c>
      <c r="K74" s="2" t="str">
        <f>IF(ISNUMBER(Clean_Data!J74),TEXT(Clean_Data!J74,"YYYY-MM"),"")</f>
        <v/>
      </c>
      <c r="L74" s="2">
        <f>IF(ISNUMBER(Clean_Data!H74),YEAR(Clean_Data!H74),"")</f>
        <v>2024</v>
      </c>
      <c r="M74" s="2">
        <f>IF(ISNUMBER(Clean_Data!H74),MONTH(Clean_Data!H74),"")</f>
        <v>10</v>
      </c>
      <c r="N74" s="2" t="str">
        <f>IF(ISNUMBER(Clean_Data!H74),TEXT(Clean_Data!H74,"MMMM"),"")</f>
        <v>October</v>
      </c>
      <c r="O74" s="19" t="b">
        <f t="shared" ca="1" si="2"/>
        <v>1</v>
      </c>
      <c r="P74" s="19" t="b">
        <f>AND(OR(Clean_Data!F74="High",Clean_Data!F74="Critical"),C74=TRUE())</f>
        <v>0</v>
      </c>
      <c r="Q74" s="19" t="b">
        <f ca="1">AND(OR(Clean_Data!F74="High",Clean_Data!F74="Critical"),D74=TRUE())</f>
        <v>0</v>
      </c>
      <c r="R74" s="19" t="b">
        <f ca="1">AND(Clean_Data!K74="In Progress",ISNUMBER(Clean_Data!H74),TODAY()-Clean_Data!H74&gt;30)</f>
        <v>0</v>
      </c>
      <c r="S74" s="2" t="str">
        <f>IF(B74=TRUE(),IF(AND(ISNUMBER(Clean_Data!N74),ISNUMBER(Clean_Data!M74),Clean_Data!M74&gt;0),IF(Clean_Data!N74&lt;=Clean_Data!M74*1.2,"Healthy","Over Budget"),"N/A"),IF(AND(Clean_Data!K74="In Progress",ISNUMBER(Clean_Data!L74)),IF(Clean_Data!L74&gt;=0.5,"On Track","Slow"),"N/A"))</f>
        <v>N/A</v>
      </c>
      <c r="T74" s="2" t="str">
        <f>IF(AND(B74=TRUE(),ISNUMBER(Clean_Data!J74),ISNUMBER(Clean_Data!I74)),Clean_Data!J74&lt;=Clean_Data!I74,"")</f>
        <v/>
      </c>
      <c r="U74" s="19" t="b">
        <f>IF(NOT(ISNUMBER(Clean_Data!L74)),FALSE(),AND(Clean_Data!L74&gt;=0,Clean_Data!L74&lt;=1))</f>
        <v>1</v>
      </c>
    </row>
    <row r="75" spans="1:21" x14ac:dyDescent="0.3">
      <c r="A75" s="5" t="str">
        <f>Clean_Data!A75</f>
        <v>TSK-0074</v>
      </c>
      <c r="B75" s="20" t="b">
        <f>Clean_Data!K75="Completed"</f>
        <v>0</v>
      </c>
      <c r="C75" s="20" t="b">
        <f>OR(Clean_Data!K75="Not Started",Clean_Data!K75="In Progress",Clean_Data!K75="On Hold")</f>
        <v>1</v>
      </c>
      <c r="D75" s="20" t="b">
        <f ca="1">AND(ISNUMBER(Clean_Data!I75),Clean_Data!I75&lt;TODAY(),Clean_Data!K75&lt;&gt;"Completed",Clean_Data!K75&lt;&gt;"Cancelled")</f>
        <v>1</v>
      </c>
      <c r="E75" s="5">
        <f ca="1">IF(AND(ISNUMBER(Clean_Data!H75),Clean_Data!K75&lt;&gt;"Completed",Clean_Data!K75&lt;&gt;"Cancelled"),TODAY()-Clean_Data!H75,"")</f>
        <v>433</v>
      </c>
      <c r="F75" s="5">
        <f ca="1">IF(AND(B75=TRUE(),ISNUMBER(Clean_Data!J75),ISNUMBER(Clean_Data!I75)),MAX(0,Clean_Data!J75-Clean_Data!I75),IF(AND(B75=FALSE(),ISNUMBER(Clean_Data!I75),Clean_Data!I75&lt;TODAY(),Clean_Data!K75&lt;&gt;"Cancelled"),MAX(0,TODAY()-Clean_Data!I75),""))</f>
        <v>377</v>
      </c>
      <c r="G75" s="5" t="str">
        <f>IF(AND(B75=TRUE(),ISNUMBER(Clean_Data!J75),ISNUMBER(Clean_Data!H75)),Clean_Data!J75-Clean_Data!H75,"")</f>
        <v/>
      </c>
      <c r="H75" s="5">
        <f ca="1">IF(AND(ISNUMBER(Clean_Data!J75),ISNUMBER(Clean_Data!H75)),Clean_Data!J75-Clean_Data!H75,IF(ISNUMBER(Clean_Data!H75),TODAY()-Clean_Data!H75,""))</f>
        <v>433</v>
      </c>
      <c r="I75" s="5" t="str">
        <f>IF(ISNUMBER(Clean_Data!I75),TEXT(Clean_Data!I75,"YYYY-MM"),"")</f>
        <v>2025-04</v>
      </c>
      <c r="J75" s="5" t="str">
        <f>IF(ISNUMBER(Clean_Data!H75),TEXT(Clean_Data!H75,"YYYY-MM"),"")</f>
        <v>2025-02</v>
      </c>
      <c r="K75" s="5" t="str">
        <f>IF(ISNUMBER(Clean_Data!J75),TEXT(Clean_Data!J75,"YYYY-MM"),"")</f>
        <v/>
      </c>
      <c r="L75" s="5">
        <f>IF(ISNUMBER(Clean_Data!H75),YEAR(Clean_Data!H75),"")</f>
        <v>2025</v>
      </c>
      <c r="M75" s="5">
        <f>IF(ISNUMBER(Clean_Data!H75),MONTH(Clean_Data!H75),"")</f>
        <v>2</v>
      </c>
      <c r="N75" s="5" t="str">
        <f>IF(ISNUMBER(Clean_Data!H75),TEXT(Clean_Data!H75,"MMMM"),"")</f>
        <v>February</v>
      </c>
      <c r="O75" s="20" t="b">
        <f t="shared" ca="1" si="2"/>
        <v>1</v>
      </c>
      <c r="P75" s="20" t="b">
        <f>AND(OR(Clean_Data!F75="High",Clean_Data!F75="Critical"),C75=TRUE())</f>
        <v>1</v>
      </c>
      <c r="Q75" s="20" t="b">
        <f ca="1">AND(OR(Clean_Data!F75="High",Clean_Data!F75="Critical"),D75=TRUE())</f>
        <v>1</v>
      </c>
      <c r="R75" s="20" t="b">
        <f ca="1">AND(Clean_Data!K75="In Progress",ISNUMBER(Clean_Data!H75),TODAY()-Clean_Data!H75&gt;30)</f>
        <v>1</v>
      </c>
      <c r="S75" s="5" t="str">
        <f>IF(B75=TRUE(),IF(AND(ISNUMBER(Clean_Data!N75),ISNUMBER(Clean_Data!M75),Clean_Data!M75&gt;0),IF(Clean_Data!N75&lt;=Clean_Data!M75*1.2,"Healthy","Over Budget"),"N/A"),IF(AND(Clean_Data!K75="In Progress",ISNUMBER(Clean_Data!L75)),IF(Clean_Data!L75&gt;=0.5,"On Track","Slow"),"N/A"))</f>
        <v>On Track</v>
      </c>
      <c r="T75" s="5" t="str">
        <f>IF(AND(B75=TRUE(),ISNUMBER(Clean_Data!J75),ISNUMBER(Clean_Data!I75)),Clean_Data!J75&lt;=Clean_Data!I75,"")</f>
        <v/>
      </c>
      <c r="U75" s="20" t="b">
        <f>IF(NOT(ISNUMBER(Clean_Data!L75)),FALSE(),AND(Clean_Data!L75&gt;=0,Clean_Data!L75&lt;=1))</f>
        <v>1</v>
      </c>
    </row>
    <row r="76" spans="1:21" x14ac:dyDescent="0.3">
      <c r="A76" s="2" t="str">
        <f>Clean_Data!A76</f>
        <v>TSK-0075</v>
      </c>
      <c r="B76" s="19" t="b">
        <f>Clean_Data!K76="Completed"</f>
        <v>1</v>
      </c>
      <c r="C76" s="19" t="b">
        <f>OR(Clean_Data!K76="Not Started",Clean_Data!K76="In Progress",Clean_Data!K76="On Hold")</f>
        <v>0</v>
      </c>
      <c r="D76" s="19" t="b">
        <f ca="1">AND(ISNUMBER(Clean_Data!I76),Clean_Data!I76&lt;TODAY(),Clean_Data!K76&lt;&gt;"Completed",Clean_Data!K76&lt;&gt;"Cancelled")</f>
        <v>0</v>
      </c>
      <c r="E76" s="2" t="str">
        <f ca="1">IF(AND(ISNUMBER(Clean_Data!H76),Clean_Data!K76&lt;&gt;"Completed",Clean_Data!K76&lt;&gt;"Cancelled"),TODAY()-Clean_Data!H76,"")</f>
        <v/>
      </c>
      <c r="F76" s="2">
        <f ca="1">IF(AND(B76=TRUE(),ISNUMBER(Clean_Data!J76),ISNUMBER(Clean_Data!I76)),MAX(0,Clean_Data!J76-Clean_Data!I76),IF(AND(B76=FALSE(),ISNUMBER(Clean_Data!I76),Clean_Data!I76&lt;TODAY(),Clean_Data!K76&lt;&gt;"Cancelled"),MAX(0,TODAY()-Clean_Data!I76),""))</f>
        <v>0</v>
      </c>
      <c r="G76" s="2">
        <f>IF(AND(B76=TRUE(),ISNUMBER(Clean_Data!J76),ISNUMBER(Clean_Data!H76)),Clean_Data!J76-Clean_Data!H76,"")</f>
        <v>12</v>
      </c>
      <c r="H76" s="2">
        <f ca="1">IF(AND(ISNUMBER(Clean_Data!J76),ISNUMBER(Clean_Data!H76)),Clean_Data!J76-Clean_Data!H76,IF(ISNUMBER(Clean_Data!H76),TODAY()-Clean_Data!H76,""))</f>
        <v>12</v>
      </c>
      <c r="I76" s="2" t="str">
        <f>IF(ISNUMBER(Clean_Data!I76),TEXT(Clean_Data!I76,"YYYY-MM"),"")</f>
        <v>2025-01</v>
      </c>
      <c r="J76" s="2" t="str">
        <f>IF(ISNUMBER(Clean_Data!H76),TEXT(Clean_Data!H76,"YYYY-MM"),"")</f>
        <v>2025-01</v>
      </c>
      <c r="K76" s="2" t="str">
        <f>IF(ISNUMBER(Clean_Data!J76),TEXT(Clean_Data!J76,"YYYY-MM"),"")</f>
        <v>2025-01</v>
      </c>
      <c r="L76" s="2">
        <f>IF(ISNUMBER(Clean_Data!H76),YEAR(Clean_Data!H76),"")</f>
        <v>2025</v>
      </c>
      <c r="M76" s="2">
        <f>IF(ISNUMBER(Clean_Data!H76),MONTH(Clean_Data!H76),"")</f>
        <v>1</v>
      </c>
      <c r="N76" s="2" t="str">
        <f>IF(ISNUMBER(Clean_Data!H76),TEXT(Clean_Data!H76,"MMMM"),"")</f>
        <v>January</v>
      </c>
      <c r="O76" s="19" t="b">
        <f t="shared" ca="1" si="2"/>
        <v>0</v>
      </c>
      <c r="P76" s="19" t="b">
        <f>AND(OR(Clean_Data!F76="High",Clean_Data!F76="Critical"),C76=TRUE())</f>
        <v>0</v>
      </c>
      <c r="Q76" s="19" t="b">
        <f ca="1">AND(OR(Clean_Data!F76="High",Clean_Data!F76="Critical"),D76=TRUE())</f>
        <v>0</v>
      </c>
      <c r="R76" s="19" t="b">
        <f ca="1">AND(Clean_Data!K76="In Progress",ISNUMBER(Clean_Data!H76),TODAY()-Clean_Data!H76&gt;30)</f>
        <v>0</v>
      </c>
      <c r="S76" s="2" t="str">
        <f>IF(B76=TRUE(),IF(AND(ISNUMBER(Clean_Data!N76),ISNUMBER(Clean_Data!M76),Clean_Data!M76&gt;0),IF(Clean_Data!N76&lt;=Clean_Data!M76*1.2,"Healthy","Over Budget"),"N/A"),IF(AND(Clean_Data!K76="In Progress",ISNUMBER(Clean_Data!L76)),IF(Clean_Data!L76&gt;=0.5,"On Track","Slow"),"N/A"))</f>
        <v>Healthy</v>
      </c>
      <c r="T76" s="19" t="b">
        <f>IF(AND(B76=TRUE(),ISNUMBER(Clean_Data!J76),ISNUMBER(Clean_Data!I76)),Clean_Data!J76&lt;=Clean_Data!I76,"")</f>
        <v>1</v>
      </c>
      <c r="U76" s="19" t="b">
        <f>IF(NOT(ISNUMBER(Clean_Data!L76)),FALSE(),AND(Clean_Data!L76&gt;=0,Clean_Data!L76&lt;=1))</f>
        <v>1</v>
      </c>
    </row>
    <row r="77" spans="1:21" x14ac:dyDescent="0.3">
      <c r="A77" s="5" t="str">
        <f>Clean_Data!A77</f>
        <v>TSK-0076</v>
      </c>
      <c r="B77" s="20" t="b">
        <f>Clean_Data!K77="Completed"</f>
        <v>0</v>
      </c>
      <c r="C77" s="20" t="b">
        <f>OR(Clean_Data!K77="Not Started",Clean_Data!K77="In Progress",Clean_Data!K77="On Hold")</f>
        <v>0</v>
      </c>
      <c r="D77" s="20" t="b">
        <f ca="1">AND(ISNUMBER(Clean_Data!I77),Clean_Data!I77&lt;TODAY(),Clean_Data!K77&lt;&gt;"Completed",Clean_Data!K77&lt;&gt;"Cancelled")</f>
        <v>0</v>
      </c>
      <c r="E77" s="5" t="str">
        <f ca="1">IF(AND(ISNUMBER(Clean_Data!H77),Clean_Data!K77&lt;&gt;"Completed",Clean_Data!K77&lt;&gt;"Cancelled"),TODAY()-Clean_Data!H77,"")</f>
        <v/>
      </c>
      <c r="F77" s="5" t="str">
        <f ca="1">IF(AND(B77=TRUE(),ISNUMBER(Clean_Data!J77),ISNUMBER(Clean_Data!I77)),MAX(0,Clean_Data!J77-Clean_Data!I77),IF(AND(B77=FALSE(),ISNUMBER(Clean_Data!I77),Clean_Data!I77&lt;TODAY(),Clean_Data!K77&lt;&gt;"Cancelled"),MAX(0,TODAY()-Clean_Data!I77),""))</f>
        <v/>
      </c>
      <c r="G77" s="5" t="str">
        <f>IF(AND(B77=TRUE(),ISNUMBER(Clean_Data!J77),ISNUMBER(Clean_Data!H77)),Clean_Data!J77-Clean_Data!H77,"")</f>
        <v/>
      </c>
      <c r="H77" s="5">
        <f ca="1">IF(AND(ISNUMBER(Clean_Data!J77),ISNUMBER(Clean_Data!H77)),Clean_Data!J77-Clean_Data!H77,IF(ISNUMBER(Clean_Data!H77),TODAY()-Clean_Data!H77,""))</f>
        <v>699</v>
      </c>
      <c r="I77" s="5" t="str">
        <f>IF(ISNUMBER(Clean_Data!I77),TEXT(Clean_Data!I77,"YYYY-MM"),"")</f>
        <v>2024-07</v>
      </c>
      <c r="J77" s="5" t="str">
        <f>IF(ISNUMBER(Clean_Data!H77),TEXT(Clean_Data!H77,"YYYY-MM"),"")</f>
        <v>2024-05</v>
      </c>
      <c r="K77" s="5" t="str">
        <f>IF(ISNUMBER(Clean_Data!J77),TEXT(Clean_Data!J77,"YYYY-MM"),"")</f>
        <v/>
      </c>
      <c r="L77" s="5">
        <f>IF(ISNUMBER(Clean_Data!H77),YEAR(Clean_Data!H77),"")</f>
        <v>2024</v>
      </c>
      <c r="M77" s="5">
        <f>IF(ISNUMBER(Clean_Data!H77),MONTH(Clean_Data!H77),"")</f>
        <v>5</v>
      </c>
      <c r="N77" s="5" t="str">
        <f>IF(ISNUMBER(Clean_Data!H77),TEXT(Clean_Data!H77,"MMMM"),"")</f>
        <v>May</v>
      </c>
      <c r="O77" s="20" t="b">
        <f t="shared" ca="1" si="2"/>
        <v>0</v>
      </c>
      <c r="P77" s="20" t="b">
        <f>AND(OR(Clean_Data!F77="High",Clean_Data!F77="Critical"),C77=TRUE())</f>
        <v>0</v>
      </c>
      <c r="Q77" s="20" t="b">
        <f ca="1">AND(OR(Clean_Data!F77="High",Clean_Data!F77="Critical"),D77=TRUE())</f>
        <v>0</v>
      </c>
      <c r="R77" s="20" t="b">
        <f ca="1">AND(Clean_Data!K77="In Progress",ISNUMBER(Clean_Data!H77),TODAY()-Clean_Data!H77&gt;30)</f>
        <v>0</v>
      </c>
      <c r="S77" s="5" t="str">
        <f>IF(B77=TRUE(),IF(AND(ISNUMBER(Clean_Data!N77),ISNUMBER(Clean_Data!M77),Clean_Data!M77&gt;0),IF(Clean_Data!N77&lt;=Clean_Data!M77*1.2,"Healthy","Over Budget"),"N/A"),IF(AND(Clean_Data!K77="In Progress",ISNUMBER(Clean_Data!L77)),IF(Clean_Data!L77&gt;=0.5,"On Track","Slow"),"N/A"))</f>
        <v>N/A</v>
      </c>
      <c r="T77" s="5" t="str">
        <f>IF(AND(B77=TRUE(),ISNUMBER(Clean_Data!J77),ISNUMBER(Clean_Data!I77)),Clean_Data!J77&lt;=Clean_Data!I77,"")</f>
        <v/>
      </c>
      <c r="U77" s="20" t="b">
        <f>IF(NOT(ISNUMBER(Clean_Data!L77)),FALSE(),AND(Clean_Data!L77&gt;=0,Clean_Data!L77&lt;=1))</f>
        <v>0</v>
      </c>
    </row>
    <row r="78" spans="1:21" x14ac:dyDescent="0.3">
      <c r="A78" s="2" t="str">
        <f>Clean_Data!A78</f>
        <v>TSK-0077</v>
      </c>
      <c r="B78" s="19" t="b">
        <f>Clean_Data!K78="Completed"</f>
        <v>1</v>
      </c>
      <c r="C78" s="19" t="b">
        <f>OR(Clean_Data!K78="Not Started",Clean_Data!K78="In Progress",Clean_Data!K78="On Hold")</f>
        <v>0</v>
      </c>
      <c r="D78" s="19" t="b">
        <f ca="1">AND(ISNUMBER(Clean_Data!I78),Clean_Data!I78&lt;TODAY(),Clean_Data!K78&lt;&gt;"Completed",Clean_Data!K78&lt;&gt;"Cancelled")</f>
        <v>0</v>
      </c>
      <c r="E78" s="2" t="str">
        <f ca="1">IF(AND(ISNUMBER(Clean_Data!H78),Clean_Data!K78&lt;&gt;"Completed",Clean_Data!K78&lt;&gt;"Cancelled"),TODAY()-Clean_Data!H78,"")</f>
        <v/>
      </c>
      <c r="F78" s="2">
        <f ca="1">IF(AND(B78=TRUE(),ISNUMBER(Clean_Data!J78),ISNUMBER(Clean_Data!I78)),MAX(0,Clean_Data!J78-Clean_Data!I78),IF(AND(B78=FALSE(),ISNUMBER(Clean_Data!I78),Clean_Data!I78&lt;TODAY(),Clean_Data!K78&lt;&gt;"Cancelled"),MAX(0,TODAY()-Clean_Data!I78),""))</f>
        <v>15</v>
      </c>
      <c r="G78" s="2">
        <f>IF(AND(B78=TRUE(),ISNUMBER(Clean_Data!J78),ISNUMBER(Clean_Data!H78)),Clean_Data!J78-Clean_Data!H78,"")</f>
        <v>43</v>
      </c>
      <c r="H78" s="2">
        <f ca="1">IF(AND(ISNUMBER(Clean_Data!J78),ISNUMBER(Clean_Data!H78)),Clean_Data!J78-Clean_Data!H78,IF(ISNUMBER(Clean_Data!H78),TODAY()-Clean_Data!H78,""))</f>
        <v>43</v>
      </c>
      <c r="I78" s="2" t="str">
        <f>IF(ISNUMBER(Clean_Data!I78),TEXT(Clean_Data!I78,"YYYY-MM"),"")</f>
        <v>2024-11</v>
      </c>
      <c r="J78" s="2" t="str">
        <f>IF(ISNUMBER(Clean_Data!H78),TEXT(Clean_Data!H78,"YYYY-MM"),"")</f>
        <v>2024-10</v>
      </c>
      <c r="K78" s="2" t="str">
        <f>IF(ISNUMBER(Clean_Data!J78),TEXT(Clean_Data!J78,"YYYY-MM"),"")</f>
        <v>2024-11</v>
      </c>
      <c r="L78" s="2">
        <f>IF(ISNUMBER(Clean_Data!H78),YEAR(Clean_Data!H78),"")</f>
        <v>2024</v>
      </c>
      <c r="M78" s="2">
        <f>IF(ISNUMBER(Clean_Data!H78),MONTH(Clean_Data!H78),"")</f>
        <v>10</v>
      </c>
      <c r="N78" s="2" t="str">
        <f>IF(ISNUMBER(Clean_Data!H78),TEXT(Clean_Data!H78,"MMMM"),"")</f>
        <v>October</v>
      </c>
      <c r="O78" s="19" t="b">
        <f t="shared" ca="1" si="2"/>
        <v>0</v>
      </c>
      <c r="P78" s="19" t="b">
        <f>AND(OR(Clean_Data!F78="High",Clean_Data!F78="Critical"),C78=TRUE())</f>
        <v>0</v>
      </c>
      <c r="Q78" s="19" t="b">
        <f ca="1">AND(OR(Clean_Data!F78="High",Clean_Data!F78="Critical"),D78=TRUE())</f>
        <v>0</v>
      </c>
      <c r="R78" s="19" t="b">
        <f ca="1">AND(Clean_Data!K78="In Progress",ISNUMBER(Clean_Data!H78),TODAY()-Clean_Data!H78&gt;30)</f>
        <v>0</v>
      </c>
      <c r="S78" s="2" t="str">
        <f>IF(B78=TRUE(),IF(AND(ISNUMBER(Clean_Data!N78),ISNUMBER(Clean_Data!M78),Clean_Data!M78&gt;0),IF(Clean_Data!N78&lt;=Clean_Data!M78*1.2,"Healthy","Over Budget"),"N/A"),IF(AND(Clean_Data!K78="In Progress",ISNUMBER(Clean_Data!L78)),IF(Clean_Data!L78&gt;=0.5,"On Track","Slow"),"N/A"))</f>
        <v>Over Budget</v>
      </c>
      <c r="T78" s="19" t="b">
        <f>IF(AND(B78=TRUE(),ISNUMBER(Clean_Data!J78),ISNUMBER(Clean_Data!I78)),Clean_Data!J78&lt;=Clean_Data!I78,"")</f>
        <v>0</v>
      </c>
      <c r="U78" s="19" t="b">
        <f>IF(NOT(ISNUMBER(Clean_Data!L78)),FALSE(),AND(Clean_Data!L78&gt;=0,Clean_Data!L78&lt;=1))</f>
        <v>1</v>
      </c>
    </row>
    <row r="79" spans="1:21" x14ac:dyDescent="0.3">
      <c r="A79" s="5" t="str">
        <f>Clean_Data!A79</f>
        <v>TSK-0078</v>
      </c>
      <c r="B79" s="20" t="b">
        <f>Clean_Data!K79="Completed"</f>
        <v>0</v>
      </c>
      <c r="C79" s="20" t="b">
        <f>OR(Clean_Data!K79="Not Started",Clean_Data!K79="In Progress",Clean_Data!K79="On Hold")</f>
        <v>1</v>
      </c>
      <c r="D79" s="20" t="b">
        <f ca="1">AND(ISNUMBER(Clean_Data!I79),Clean_Data!I79&lt;TODAY(),Clean_Data!K79&lt;&gt;"Completed",Clean_Data!K79&lt;&gt;"Cancelled")</f>
        <v>1</v>
      </c>
      <c r="E79" s="5">
        <f ca="1">IF(AND(ISNUMBER(Clean_Data!H79),Clean_Data!K79&lt;&gt;"Completed",Clean_Data!K79&lt;&gt;"Cancelled"),TODAY()-Clean_Data!H79,"")</f>
        <v>589</v>
      </c>
      <c r="F79" s="5">
        <f ca="1">IF(AND(B79=TRUE(),ISNUMBER(Clean_Data!J79),ISNUMBER(Clean_Data!I79)),MAX(0,Clean_Data!J79-Clean_Data!I79),IF(AND(B79=FALSE(),ISNUMBER(Clean_Data!I79),Clean_Data!I79&lt;TODAY(),Clean_Data!K79&lt;&gt;"Cancelled"),MAX(0,TODAY()-Clean_Data!I79),""))</f>
        <v>583</v>
      </c>
      <c r="G79" s="5" t="str">
        <f>IF(AND(B79=TRUE(),ISNUMBER(Clean_Data!J79),ISNUMBER(Clean_Data!H79)),Clean_Data!J79-Clean_Data!H79,"")</f>
        <v/>
      </c>
      <c r="H79" s="5">
        <f ca="1">IF(AND(ISNUMBER(Clean_Data!J79),ISNUMBER(Clean_Data!H79)),Clean_Data!J79-Clean_Data!H79,IF(ISNUMBER(Clean_Data!H79),TODAY()-Clean_Data!H79,""))</f>
        <v>589</v>
      </c>
      <c r="I79" s="5" t="str">
        <f>IF(ISNUMBER(Clean_Data!I79),TEXT(Clean_Data!I79,"YYYY-MM"),"")</f>
        <v>2024-09</v>
      </c>
      <c r="J79" s="5" t="str">
        <f>IF(ISNUMBER(Clean_Data!H79),TEXT(Clean_Data!H79,"YYYY-MM"),"")</f>
        <v>2024-09</v>
      </c>
      <c r="K79" s="5" t="str">
        <f>IF(ISNUMBER(Clean_Data!J79),TEXT(Clean_Data!J79,"YYYY-MM"),"")</f>
        <v/>
      </c>
      <c r="L79" s="5">
        <f>IF(ISNUMBER(Clean_Data!H79),YEAR(Clean_Data!H79),"")</f>
        <v>2024</v>
      </c>
      <c r="M79" s="5">
        <f>IF(ISNUMBER(Clean_Data!H79),MONTH(Clean_Data!H79),"")</f>
        <v>9</v>
      </c>
      <c r="N79" s="5" t="str">
        <f>IF(ISNUMBER(Clean_Data!H79),TEXT(Clean_Data!H79,"MMMM"),"")</f>
        <v>September</v>
      </c>
      <c r="O79" s="20" t="b">
        <f t="shared" ca="1" si="2"/>
        <v>1</v>
      </c>
      <c r="P79" s="20" t="b">
        <f>AND(OR(Clean_Data!F79="High",Clean_Data!F79="Critical"),C79=TRUE())</f>
        <v>1</v>
      </c>
      <c r="Q79" s="20" t="b">
        <f ca="1">AND(OR(Clean_Data!F79="High",Clean_Data!F79="Critical"),D79=TRUE())</f>
        <v>1</v>
      </c>
      <c r="R79" s="20" t="b">
        <f ca="1">AND(Clean_Data!K79="In Progress",ISNUMBER(Clean_Data!H79),TODAY()-Clean_Data!H79&gt;30)</f>
        <v>0</v>
      </c>
      <c r="S79" s="5" t="str">
        <f>IF(B79=TRUE(),IF(AND(ISNUMBER(Clean_Data!N79),ISNUMBER(Clean_Data!M79),Clean_Data!M79&gt;0),IF(Clean_Data!N79&lt;=Clean_Data!M79*1.2,"Healthy","Over Budget"),"N/A"),IF(AND(Clean_Data!K79="In Progress",ISNUMBER(Clean_Data!L79)),IF(Clean_Data!L79&gt;=0.5,"On Track","Slow"),"N/A"))</f>
        <v>N/A</v>
      </c>
      <c r="T79" s="5" t="str">
        <f>IF(AND(B79=TRUE(),ISNUMBER(Clean_Data!J79),ISNUMBER(Clean_Data!I79)),Clean_Data!J79&lt;=Clean_Data!I79,"")</f>
        <v/>
      </c>
      <c r="U79" s="20" t="b">
        <f>IF(NOT(ISNUMBER(Clean_Data!L79)),FALSE(),AND(Clean_Data!L79&gt;=0,Clean_Data!L79&lt;=1))</f>
        <v>0</v>
      </c>
    </row>
    <row r="80" spans="1:21" x14ac:dyDescent="0.3">
      <c r="A80" s="2" t="str">
        <f>Clean_Data!A80</f>
        <v>TSK-0079</v>
      </c>
      <c r="B80" s="19" t="b">
        <f>Clean_Data!K80="Completed"</f>
        <v>1</v>
      </c>
      <c r="C80" s="19" t="b">
        <f>OR(Clean_Data!K80="Not Started",Clean_Data!K80="In Progress",Clean_Data!K80="On Hold")</f>
        <v>0</v>
      </c>
      <c r="D80" s="19" t="b">
        <f ca="1">AND(ISNUMBER(Clean_Data!I80),Clean_Data!I80&lt;TODAY(),Clean_Data!K80&lt;&gt;"Completed",Clean_Data!K80&lt;&gt;"Cancelled")</f>
        <v>0</v>
      </c>
      <c r="E80" s="2" t="str">
        <f ca="1">IF(AND(ISNUMBER(Clean_Data!H80),Clean_Data!K80&lt;&gt;"Completed",Clean_Data!K80&lt;&gt;"Cancelled"),TODAY()-Clean_Data!H80,"")</f>
        <v/>
      </c>
      <c r="F80" s="2">
        <f ca="1">IF(AND(B80=TRUE(),ISNUMBER(Clean_Data!J80),ISNUMBER(Clean_Data!I80)),MAX(0,Clean_Data!J80-Clean_Data!I80),IF(AND(B80=FALSE(),ISNUMBER(Clean_Data!I80),Clean_Data!I80&lt;TODAY(),Clean_Data!K80&lt;&gt;"Cancelled"),MAX(0,TODAY()-Clean_Data!I80),""))</f>
        <v>0</v>
      </c>
      <c r="G80" s="2">
        <f>IF(AND(B80=TRUE(),ISNUMBER(Clean_Data!J80),ISNUMBER(Clean_Data!H80)),Clean_Data!J80-Clean_Data!H80,"")</f>
        <v>29</v>
      </c>
      <c r="H80" s="2">
        <f ca="1">IF(AND(ISNUMBER(Clean_Data!J80),ISNUMBER(Clean_Data!H80)),Clean_Data!J80-Clean_Data!H80,IF(ISNUMBER(Clean_Data!H80),TODAY()-Clean_Data!H80,""))</f>
        <v>29</v>
      </c>
      <c r="I80" s="2" t="str">
        <f>IF(ISNUMBER(Clean_Data!I80),TEXT(Clean_Data!I80,"YYYY-MM"),"")</f>
        <v>2024-07</v>
      </c>
      <c r="J80" s="2" t="str">
        <f>IF(ISNUMBER(Clean_Data!H80),TEXT(Clean_Data!H80,"YYYY-MM"),"")</f>
        <v>2024-06</v>
      </c>
      <c r="K80" s="2" t="str">
        <f>IF(ISNUMBER(Clean_Data!J80),TEXT(Clean_Data!J80,"YYYY-MM"),"")</f>
        <v>2024-07</v>
      </c>
      <c r="L80" s="2">
        <f>IF(ISNUMBER(Clean_Data!H80),YEAR(Clean_Data!H80),"")</f>
        <v>2024</v>
      </c>
      <c r="M80" s="2">
        <f>IF(ISNUMBER(Clean_Data!H80),MONTH(Clean_Data!H80),"")</f>
        <v>6</v>
      </c>
      <c r="N80" s="2" t="str">
        <f>IF(ISNUMBER(Clean_Data!H80),TEXT(Clean_Data!H80,"MMMM"),"")</f>
        <v>June</v>
      </c>
      <c r="O80" s="19" t="b">
        <f t="shared" ca="1" si="2"/>
        <v>0</v>
      </c>
      <c r="P80" s="19" t="b">
        <f>AND(OR(Clean_Data!F80="High",Clean_Data!F80="Critical"),C80=TRUE())</f>
        <v>0</v>
      </c>
      <c r="Q80" s="19" t="b">
        <f ca="1">AND(OR(Clean_Data!F80="High",Clean_Data!F80="Critical"),D80=TRUE())</f>
        <v>0</v>
      </c>
      <c r="R80" s="19" t="b">
        <f ca="1">AND(Clean_Data!K80="In Progress",ISNUMBER(Clean_Data!H80),TODAY()-Clean_Data!H80&gt;30)</f>
        <v>0</v>
      </c>
      <c r="S80" s="2" t="str">
        <f>IF(B80=TRUE(),IF(AND(ISNUMBER(Clean_Data!N80),ISNUMBER(Clean_Data!M80),Clean_Data!M80&gt;0),IF(Clean_Data!N80&lt;=Clean_Data!M80*1.2,"Healthy","Over Budget"),"N/A"),IF(AND(Clean_Data!K80="In Progress",ISNUMBER(Clean_Data!L80)),IF(Clean_Data!L80&gt;=0.5,"On Track","Slow"),"N/A"))</f>
        <v>Healthy</v>
      </c>
      <c r="T80" s="19" t="b">
        <f>IF(AND(B80=TRUE(),ISNUMBER(Clean_Data!J80),ISNUMBER(Clean_Data!I80)),Clean_Data!J80&lt;=Clean_Data!I80,"")</f>
        <v>1</v>
      </c>
      <c r="U80" s="19" t="b">
        <f>IF(NOT(ISNUMBER(Clean_Data!L80)),FALSE(),AND(Clean_Data!L80&gt;=0,Clean_Data!L80&lt;=1))</f>
        <v>1</v>
      </c>
    </row>
    <row r="81" spans="1:21" x14ac:dyDescent="0.3">
      <c r="A81" s="5" t="str">
        <f>Clean_Data!A81</f>
        <v>TSK-0080</v>
      </c>
      <c r="B81" s="20" t="b">
        <f>Clean_Data!K81="Completed"</f>
        <v>0</v>
      </c>
      <c r="C81" s="20" t="b">
        <f>OR(Clean_Data!K81="Not Started",Clean_Data!K81="In Progress",Clean_Data!K81="On Hold")</f>
        <v>1</v>
      </c>
      <c r="D81" s="20" t="b">
        <f ca="1">AND(ISNUMBER(Clean_Data!I81),Clean_Data!I81&lt;TODAY(),Clean_Data!K81&lt;&gt;"Completed",Clean_Data!K81&lt;&gt;"Cancelled")</f>
        <v>1</v>
      </c>
      <c r="E81" s="5">
        <f ca="1">IF(AND(ISNUMBER(Clean_Data!H81),Clean_Data!K81&lt;&gt;"Completed",Clean_Data!K81&lt;&gt;"Cancelled"),TODAY()-Clean_Data!H81,"")</f>
        <v>580</v>
      </c>
      <c r="F81" s="5">
        <f ca="1">IF(AND(B81=TRUE(),ISNUMBER(Clean_Data!J81),ISNUMBER(Clean_Data!I81)),MAX(0,Clean_Data!J81-Clean_Data!I81),IF(AND(B81=FALSE(),ISNUMBER(Clean_Data!I81),Clean_Data!I81&lt;TODAY(),Clean_Data!K81&lt;&gt;"Cancelled"),MAX(0,TODAY()-Clean_Data!I81),""))</f>
        <v>536</v>
      </c>
      <c r="G81" s="5" t="str">
        <f>IF(AND(B81=TRUE(),ISNUMBER(Clean_Data!J81),ISNUMBER(Clean_Data!H81)),Clean_Data!J81-Clean_Data!H81,"")</f>
        <v/>
      </c>
      <c r="H81" s="5">
        <f ca="1">IF(AND(ISNUMBER(Clean_Data!J81),ISNUMBER(Clean_Data!H81)),Clean_Data!J81-Clean_Data!H81,IF(ISNUMBER(Clean_Data!H81),TODAY()-Clean_Data!H81,""))</f>
        <v>580</v>
      </c>
      <c r="I81" s="5" t="str">
        <f>IF(ISNUMBER(Clean_Data!I81),TEXT(Clean_Data!I81,"YYYY-MM"),"")</f>
        <v>2024-10</v>
      </c>
      <c r="J81" s="5" t="str">
        <f>IF(ISNUMBER(Clean_Data!H81),TEXT(Clean_Data!H81,"YYYY-MM"),"")</f>
        <v>2024-09</v>
      </c>
      <c r="K81" s="5" t="str">
        <f>IF(ISNUMBER(Clean_Data!J81),TEXT(Clean_Data!J81,"YYYY-MM"),"")</f>
        <v/>
      </c>
      <c r="L81" s="5">
        <f>IF(ISNUMBER(Clean_Data!H81),YEAR(Clean_Data!H81),"")</f>
        <v>2024</v>
      </c>
      <c r="M81" s="5">
        <f>IF(ISNUMBER(Clean_Data!H81),MONTH(Clean_Data!H81),"")</f>
        <v>9</v>
      </c>
      <c r="N81" s="5" t="str">
        <f>IF(ISNUMBER(Clean_Data!H81),TEXT(Clean_Data!H81,"MMMM"),"")</f>
        <v>September</v>
      </c>
      <c r="O81" s="20" t="b">
        <f t="shared" ca="1" si="2"/>
        <v>1</v>
      </c>
      <c r="P81" s="20" t="b">
        <f>AND(OR(Clean_Data!F81="High",Clean_Data!F81="Critical"),C81=TRUE())</f>
        <v>0</v>
      </c>
      <c r="Q81" s="20" t="b">
        <f ca="1">AND(OR(Clean_Data!F81="High",Clean_Data!F81="Critical"),D81=TRUE())</f>
        <v>0</v>
      </c>
      <c r="R81" s="20" t="b">
        <f ca="1">AND(Clean_Data!K81="In Progress",ISNUMBER(Clean_Data!H81),TODAY()-Clean_Data!H81&gt;30)</f>
        <v>0</v>
      </c>
      <c r="S81" s="5" t="str">
        <f>IF(B81=TRUE(),IF(AND(ISNUMBER(Clean_Data!N81),ISNUMBER(Clean_Data!M81),Clean_Data!M81&gt;0),IF(Clean_Data!N81&lt;=Clean_Data!M81*1.2,"Healthy","Over Budget"),"N/A"),IF(AND(Clean_Data!K81="In Progress",ISNUMBER(Clean_Data!L81)),IF(Clean_Data!L81&gt;=0.5,"On Track","Slow"),"N/A"))</f>
        <v>N/A</v>
      </c>
      <c r="T81" s="5" t="str">
        <f>IF(AND(B81=TRUE(),ISNUMBER(Clean_Data!J81),ISNUMBER(Clean_Data!I81)),Clean_Data!J81&lt;=Clean_Data!I81,"")</f>
        <v/>
      </c>
      <c r="U81" s="20" t="b">
        <f>IF(NOT(ISNUMBER(Clean_Data!L81)),FALSE(),AND(Clean_Data!L81&gt;=0,Clean_Data!L81&lt;=1))</f>
        <v>1</v>
      </c>
    </row>
    <row r="82" spans="1:21" x14ac:dyDescent="0.3">
      <c r="A82" s="2" t="str">
        <f>Clean_Data!A82</f>
        <v>TSK-0081</v>
      </c>
      <c r="B82" s="19" t="b">
        <f>Clean_Data!K82="Completed"</f>
        <v>0</v>
      </c>
      <c r="C82" s="19" t="b">
        <f>OR(Clean_Data!K82="Not Started",Clean_Data!K82="In Progress",Clean_Data!K82="On Hold")</f>
        <v>1</v>
      </c>
      <c r="D82" s="19" t="b">
        <f ca="1">AND(ISNUMBER(Clean_Data!I82),Clean_Data!I82&lt;TODAY(),Clean_Data!K82&lt;&gt;"Completed",Clean_Data!K82&lt;&gt;"Cancelled")</f>
        <v>1</v>
      </c>
      <c r="E82" s="2">
        <f ca="1">IF(AND(ISNUMBER(Clean_Data!H82),Clean_Data!K82&lt;&gt;"Completed",Clean_Data!K82&lt;&gt;"Cancelled"),TODAY()-Clean_Data!H82,"")</f>
        <v>799</v>
      </c>
      <c r="F82" s="2">
        <f ca="1">IF(AND(B82=TRUE(),ISNUMBER(Clean_Data!J82),ISNUMBER(Clean_Data!I82)),MAX(0,Clean_Data!J82-Clean_Data!I82),IF(AND(B82=FALSE(),ISNUMBER(Clean_Data!I82),Clean_Data!I82&lt;TODAY(),Clean_Data!K82&lt;&gt;"Cancelled"),MAX(0,TODAY()-Clean_Data!I82),""))</f>
        <v>769</v>
      </c>
      <c r="G82" s="2" t="str">
        <f>IF(AND(B82=TRUE(),ISNUMBER(Clean_Data!J82),ISNUMBER(Clean_Data!H82)),Clean_Data!J82-Clean_Data!H82,"")</f>
        <v/>
      </c>
      <c r="H82" s="2">
        <f ca="1">IF(AND(ISNUMBER(Clean_Data!J82),ISNUMBER(Clean_Data!H82)),Clean_Data!J82-Clean_Data!H82,IF(ISNUMBER(Clean_Data!H82),TODAY()-Clean_Data!H82,""))</f>
        <v>799</v>
      </c>
      <c r="I82" s="2" t="str">
        <f>IF(ISNUMBER(Clean_Data!I82),TEXT(Clean_Data!I82,"YYYY-MM"),"")</f>
        <v>2024-03</v>
      </c>
      <c r="J82" s="2" t="str">
        <f>IF(ISNUMBER(Clean_Data!H82),TEXT(Clean_Data!H82,"YYYY-MM"),"")</f>
        <v>2024-02</v>
      </c>
      <c r="K82" s="2" t="str">
        <f>IF(ISNUMBER(Clean_Data!J82),TEXT(Clean_Data!J82,"YYYY-MM"),"")</f>
        <v/>
      </c>
      <c r="L82" s="2">
        <f>IF(ISNUMBER(Clean_Data!H82),YEAR(Clean_Data!H82),"")</f>
        <v>2024</v>
      </c>
      <c r="M82" s="2">
        <f>IF(ISNUMBER(Clean_Data!H82),MONTH(Clean_Data!H82),"")</f>
        <v>2</v>
      </c>
      <c r="N82" s="2" t="str">
        <f>IF(ISNUMBER(Clean_Data!H82),TEXT(Clean_Data!H82,"MMMM"),"")</f>
        <v>February</v>
      </c>
      <c r="O82" s="19" t="b">
        <f t="shared" ca="1" si="2"/>
        <v>1</v>
      </c>
      <c r="P82" s="19" t="b">
        <f>AND(OR(Clean_Data!F82="High",Clean_Data!F82="Critical"),C82=TRUE())</f>
        <v>0</v>
      </c>
      <c r="Q82" s="19" t="b">
        <f ca="1">AND(OR(Clean_Data!F82="High",Clean_Data!F82="Critical"),D82=TRUE())</f>
        <v>0</v>
      </c>
      <c r="R82" s="19" t="b">
        <f ca="1">AND(Clean_Data!K82="In Progress",ISNUMBER(Clean_Data!H82),TODAY()-Clean_Data!H82&gt;30)</f>
        <v>0</v>
      </c>
      <c r="S82" s="2" t="str">
        <f>IF(B82=TRUE(),IF(AND(ISNUMBER(Clean_Data!N82),ISNUMBER(Clean_Data!M82),Clean_Data!M82&gt;0),IF(Clean_Data!N82&lt;=Clean_Data!M82*1.2,"Healthy","Over Budget"),"N/A"),IF(AND(Clean_Data!K82="In Progress",ISNUMBER(Clean_Data!L82)),IF(Clean_Data!L82&gt;=0.5,"On Track","Slow"),"N/A"))</f>
        <v>N/A</v>
      </c>
      <c r="T82" s="2" t="str">
        <f>IF(AND(B82=TRUE(),ISNUMBER(Clean_Data!J82),ISNUMBER(Clean_Data!I82)),Clean_Data!J82&lt;=Clean_Data!I82,"")</f>
        <v/>
      </c>
      <c r="U82" s="19" t="b">
        <f>IF(NOT(ISNUMBER(Clean_Data!L82)),FALSE(),AND(Clean_Data!L82&gt;=0,Clean_Data!L82&lt;=1))</f>
        <v>1</v>
      </c>
    </row>
    <row r="83" spans="1:21" x14ac:dyDescent="0.3">
      <c r="A83" s="5" t="str">
        <f>Clean_Data!A83</f>
        <v>TSK-0082</v>
      </c>
      <c r="B83" s="20" t="b">
        <f>Clean_Data!K83="Completed"</f>
        <v>1</v>
      </c>
      <c r="C83" s="20" t="b">
        <f>OR(Clean_Data!K83="Not Started",Clean_Data!K83="In Progress",Clean_Data!K83="On Hold")</f>
        <v>0</v>
      </c>
      <c r="D83" s="20" t="b">
        <f ca="1">AND(ISNUMBER(Clean_Data!I83),Clean_Data!I83&lt;TODAY(),Clean_Data!K83&lt;&gt;"Completed",Clean_Data!K83&lt;&gt;"Cancelled")</f>
        <v>0</v>
      </c>
      <c r="E83" s="5" t="str">
        <f ca="1">IF(AND(ISNUMBER(Clean_Data!H83),Clean_Data!K83&lt;&gt;"Completed",Clean_Data!K83&lt;&gt;"Cancelled"),TODAY()-Clean_Data!H83,"")</f>
        <v/>
      </c>
      <c r="F83" s="5">
        <f ca="1">IF(AND(B83=TRUE(),ISNUMBER(Clean_Data!J83),ISNUMBER(Clean_Data!I83)),MAX(0,Clean_Data!J83-Clean_Data!I83),IF(AND(B83=FALSE(),ISNUMBER(Clean_Data!I83),Clean_Data!I83&lt;TODAY(),Clean_Data!K83&lt;&gt;"Cancelled"),MAX(0,TODAY()-Clean_Data!I83),""))</f>
        <v>14</v>
      </c>
      <c r="G83" s="5">
        <f>IF(AND(B83=TRUE(),ISNUMBER(Clean_Data!J83),ISNUMBER(Clean_Data!H83)),Clean_Data!J83-Clean_Data!H83,"")</f>
        <v>32</v>
      </c>
      <c r="H83" s="5">
        <f ca="1">IF(AND(ISNUMBER(Clean_Data!J83),ISNUMBER(Clean_Data!H83)),Clean_Data!J83-Clean_Data!H83,IF(ISNUMBER(Clean_Data!H83),TODAY()-Clean_Data!H83,""))</f>
        <v>32</v>
      </c>
      <c r="I83" s="5" t="str">
        <f>IF(ISNUMBER(Clean_Data!I83),TEXT(Clean_Data!I83,"YYYY-MM"),"")</f>
        <v>2024-11</v>
      </c>
      <c r="J83" s="5" t="str">
        <f>IF(ISNUMBER(Clean_Data!H83),TEXT(Clean_Data!H83,"YYYY-MM"),"")</f>
        <v>2024-10</v>
      </c>
      <c r="K83" s="5" t="str">
        <f>IF(ISNUMBER(Clean_Data!J83),TEXT(Clean_Data!J83,"YYYY-MM"),"")</f>
        <v>2024-11</v>
      </c>
      <c r="L83" s="5">
        <f>IF(ISNUMBER(Clean_Data!H83),YEAR(Clean_Data!H83),"")</f>
        <v>2024</v>
      </c>
      <c r="M83" s="5">
        <f>IF(ISNUMBER(Clean_Data!H83),MONTH(Clean_Data!H83),"")</f>
        <v>10</v>
      </c>
      <c r="N83" s="5" t="str">
        <f>IF(ISNUMBER(Clean_Data!H83),TEXT(Clean_Data!H83,"MMMM"),"")</f>
        <v>October</v>
      </c>
      <c r="O83" s="20" t="b">
        <f t="shared" ca="1" si="2"/>
        <v>0</v>
      </c>
      <c r="P83" s="20" t="b">
        <f>AND(OR(Clean_Data!F83="High",Clean_Data!F83="Critical"),C83=TRUE())</f>
        <v>0</v>
      </c>
      <c r="Q83" s="20" t="b">
        <f ca="1">AND(OR(Clean_Data!F83="High",Clean_Data!F83="Critical"),D83=TRUE())</f>
        <v>0</v>
      </c>
      <c r="R83" s="20" t="b">
        <f ca="1">AND(Clean_Data!K83="In Progress",ISNUMBER(Clean_Data!H83),TODAY()-Clean_Data!H83&gt;30)</f>
        <v>0</v>
      </c>
      <c r="S83" s="5" t="str">
        <f>IF(B83=TRUE(),IF(AND(ISNUMBER(Clean_Data!N83),ISNUMBER(Clean_Data!M83),Clean_Data!M83&gt;0),IF(Clean_Data!N83&lt;=Clean_Data!M83*1.2,"Healthy","Over Budget"),"N/A"),IF(AND(Clean_Data!K83="In Progress",ISNUMBER(Clean_Data!L83)),IF(Clean_Data!L83&gt;=0.5,"On Track","Slow"),"N/A"))</f>
        <v>Healthy</v>
      </c>
      <c r="T83" s="20" t="b">
        <f>IF(AND(B83=TRUE(),ISNUMBER(Clean_Data!J83),ISNUMBER(Clean_Data!I83)),Clean_Data!J83&lt;=Clean_Data!I83,"")</f>
        <v>0</v>
      </c>
      <c r="U83" s="20" t="b">
        <f>IF(NOT(ISNUMBER(Clean_Data!L83)),FALSE(),AND(Clean_Data!L83&gt;=0,Clean_Data!L83&lt;=1))</f>
        <v>1</v>
      </c>
    </row>
    <row r="84" spans="1:21" x14ac:dyDescent="0.3">
      <c r="A84" s="2" t="str">
        <f>Clean_Data!A84</f>
        <v>TSK-0083</v>
      </c>
      <c r="B84" s="19" t="b">
        <f>Clean_Data!K84="Completed"</f>
        <v>1</v>
      </c>
      <c r="C84" s="19" t="b">
        <f>OR(Clean_Data!K84="Not Started",Clean_Data!K84="In Progress",Clean_Data!K84="On Hold")</f>
        <v>0</v>
      </c>
      <c r="D84" s="19" t="b">
        <f ca="1">AND(ISNUMBER(Clean_Data!I84),Clean_Data!I84&lt;TODAY(),Clean_Data!K84&lt;&gt;"Completed",Clean_Data!K84&lt;&gt;"Cancelled")</f>
        <v>0</v>
      </c>
      <c r="E84" s="2" t="str">
        <f ca="1">IF(AND(ISNUMBER(Clean_Data!H84),Clean_Data!K84&lt;&gt;"Completed",Clean_Data!K84&lt;&gt;"Cancelled"),TODAY()-Clean_Data!H84,"")</f>
        <v/>
      </c>
      <c r="F84" s="2">
        <f ca="1">IF(AND(B84=TRUE(),ISNUMBER(Clean_Data!J84),ISNUMBER(Clean_Data!I84)),MAX(0,Clean_Data!J84-Clean_Data!I84),IF(AND(B84=FALSE(),ISNUMBER(Clean_Data!I84),Clean_Data!I84&lt;TODAY(),Clean_Data!K84&lt;&gt;"Cancelled"),MAX(0,TODAY()-Clean_Data!I84),""))</f>
        <v>0</v>
      </c>
      <c r="G84" s="2">
        <f>IF(AND(B84=TRUE(),ISNUMBER(Clean_Data!J84),ISNUMBER(Clean_Data!H84)),Clean_Data!J84-Clean_Data!H84,"")</f>
        <v>6</v>
      </c>
      <c r="H84" s="2">
        <f ca="1">IF(AND(ISNUMBER(Clean_Data!J84),ISNUMBER(Clean_Data!H84)),Clean_Data!J84-Clean_Data!H84,IF(ISNUMBER(Clean_Data!H84),TODAY()-Clean_Data!H84,""))</f>
        <v>6</v>
      </c>
      <c r="I84" s="2" t="str">
        <f>IF(ISNUMBER(Clean_Data!I84),TEXT(Clean_Data!I84,"YYYY-MM"),"")</f>
        <v>2024-04</v>
      </c>
      <c r="J84" s="2" t="str">
        <f>IF(ISNUMBER(Clean_Data!H84),TEXT(Clean_Data!H84,"YYYY-MM"),"")</f>
        <v>2024-04</v>
      </c>
      <c r="K84" s="2" t="str">
        <f>IF(ISNUMBER(Clean_Data!J84),TEXT(Clean_Data!J84,"YYYY-MM"),"")</f>
        <v>2024-04</v>
      </c>
      <c r="L84" s="2">
        <f>IF(ISNUMBER(Clean_Data!H84),YEAR(Clean_Data!H84),"")</f>
        <v>2024</v>
      </c>
      <c r="M84" s="2">
        <f>IF(ISNUMBER(Clean_Data!H84),MONTH(Clean_Data!H84),"")</f>
        <v>4</v>
      </c>
      <c r="N84" s="2" t="str">
        <f>IF(ISNUMBER(Clean_Data!H84),TEXT(Clean_Data!H84,"MMMM"),"")</f>
        <v>April</v>
      </c>
      <c r="O84" s="19" t="b">
        <f t="shared" ca="1" si="2"/>
        <v>0</v>
      </c>
      <c r="P84" s="19" t="b">
        <f>AND(OR(Clean_Data!F84="High",Clean_Data!F84="Critical"),C84=TRUE())</f>
        <v>0</v>
      </c>
      <c r="Q84" s="19" t="b">
        <f ca="1">AND(OR(Clean_Data!F84="High",Clean_Data!F84="Critical"),D84=TRUE())</f>
        <v>0</v>
      </c>
      <c r="R84" s="19" t="b">
        <f ca="1">AND(Clean_Data!K84="In Progress",ISNUMBER(Clean_Data!H84),TODAY()-Clean_Data!H84&gt;30)</f>
        <v>0</v>
      </c>
      <c r="S84" s="2" t="str">
        <f>IF(B84=TRUE(),IF(AND(ISNUMBER(Clean_Data!N84),ISNUMBER(Clean_Data!M84),Clean_Data!M84&gt;0),IF(Clean_Data!N84&lt;=Clean_Data!M84*1.2,"Healthy","Over Budget"),"N/A"),IF(AND(Clean_Data!K84="In Progress",ISNUMBER(Clean_Data!L84)),IF(Clean_Data!L84&gt;=0.5,"On Track","Slow"),"N/A"))</f>
        <v>Over Budget</v>
      </c>
      <c r="T84" s="19" t="b">
        <f>IF(AND(B84=TRUE(),ISNUMBER(Clean_Data!J84),ISNUMBER(Clean_Data!I84)),Clean_Data!J84&lt;=Clean_Data!I84,"")</f>
        <v>1</v>
      </c>
      <c r="U84" s="19" t="b">
        <f>IF(NOT(ISNUMBER(Clean_Data!L84)),FALSE(),AND(Clean_Data!L84&gt;=0,Clean_Data!L84&lt;=1))</f>
        <v>1</v>
      </c>
    </row>
    <row r="85" spans="1:21" x14ac:dyDescent="0.3">
      <c r="A85" s="5" t="str">
        <f>Clean_Data!A85</f>
        <v>TSK-0084</v>
      </c>
      <c r="B85" s="20" t="b">
        <f>Clean_Data!K85="Completed"</f>
        <v>1</v>
      </c>
      <c r="C85" s="20" t="b">
        <f>OR(Clean_Data!K85="Not Started",Clean_Data!K85="In Progress",Clean_Data!K85="On Hold")</f>
        <v>0</v>
      </c>
      <c r="D85" s="20" t="b">
        <f ca="1">AND(ISNUMBER(Clean_Data!I85),Clean_Data!I85&lt;TODAY(),Clean_Data!K85&lt;&gt;"Completed",Clean_Data!K85&lt;&gt;"Cancelled")</f>
        <v>0</v>
      </c>
      <c r="E85" s="5" t="str">
        <f ca="1">IF(AND(ISNUMBER(Clean_Data!H85),Clean_Data!K85&lt;&gt;"Completed",Clean_Data!K85&lt;&gt;"Cancelled"),TODAY()-Clean_Data!H85,"")</f>
        <v/>
      </c>
      <c r="F85" s="5">
        <f ca="1">IF(AND(B85=TRUE(),ISNUMBER(Clean_Data!J85),ISNUMBER(Clean_Data!I85)),MAX(0,Clean_Data!J85-Clean_Data!I85),IF(AND(B85=FALSE(),ISNUMBER(Clean_Data!I85),Clean_Data!I85&lt;TODAY(),Clean_Data!K85&lt;&gt;"Cancelled"),MAX(0,TODAY()-Clean_Data!I85),""))</f>
        <v>5</v>
      </c>
      <c r="G85" s="5">
        <f>IF(AND(B85=TRUE(),ISNUMBER(Clean_Data!J85),ISNUMBER(Clean_Data!H85)),Clean_Data!J85-Clean_Data!H85,"")</f>
        <v>17</v>
      </c>
      <c r="H85" s="5">
        <f ca="1">IF(AND(ISNUMBER(Clean_Data!J85),ISNUMBER(Clean_Data!H85)),Clean_Data!J85-Clean_Data!H85,IF(ISNUMBER(Clean_Data!H85),TODAY()-Clean_Data!H85,""))</f>
        <v>17</v>
      </c>
      <c r="I85" s="5" t="str">
        <f>IF(ISNUMBER(Clean_Data!I85),TEXT(Clean_Data!I85,"YYYY-MM"),"")</f>
        <v>2024-10</v>
      </c>
      <c r="J85" s="5" t="str">
        <f>IF(ISNUMBER(Clean_Data!H85),TEXT(Clean_Data!H85,"YYYY-MM"),"")</f>
        <v>2024-09</v>
      </c>
      <c r="K85" s="5" t="str">
        <f>IF(ISNUMBER(Clean_Data!J85),TEXT(Clean_Data!J85,"YYYY-MM"),"")</f>
        <v>2024-10</v>
      </c>
      <c r="L85" s="5">
        <f>IF(ISNUMBER(Clean_Data!H85),YEAR(Clean_Data!H85),"")</f>
        <v>2024</v>
      </c>
      <c r="M85" s="5">
        <f>IF(ISNUMBER(Clean_Data!H85),MONTH(Clean_Data!H85),"")</f>
        <v>9</v>
      </c>
      <c r="N85" s="5" t="str">
        <f>IF(ISNUMBER(Clean_Data!H85),TEXT(Clean_Data!H85,"MMMM"),"")</f>
        <v>September</v>
      </c>
      <c r="O85" s="20" t="b">
        <f t="shared" ca="1" si="2"/>
        <v>0</v>
      </c>
      <c r="P85" s="20" t="b">
        <f>AND(OR(Clean_Data!F85="High",Clean_Data!F85="Critical"),C85=TRUE())</f>
        <v>0</v>
      </c>
      <c r="Q85" s="20" t="b">
        <f ca="1">AND(OR(Clean_Data!F85="High",Clean_Data!F85="Critical"),D85=TRUE())</f>
        <v>0</v>
      </c>
      <c r="R85" s="20" t="b">
        <f ca="1">AND(Clean_Data!K85="In Progress",ISNUMBER(Clean_Data!H85),TODAY()-Clean_Data!H85&gt;30)</f>
        <v>0</v>
      </c>
      <c r="S85" s="5" t="str">
        <f>IF(B85=TRUE(),IF(AND(ISNUMBER(Clean_Data!N85),ISNUMBER(Clean_Data!M85),Clean_Data!M85&gt;0),IF(Clean_Data!N85&lt;=Clean_Data!M85*1.2,"Healthy","Over Budget"),"N/A"),IF(AND(Clean_Data!K85="In Progress",ISNUMBER(Clean_Data!L85)),IF(Clean_Data!L85&gt;=0.5,"On Track","Slow"),"N/A"))</f>
        <v>Healthy</v>
      </c>
      <c r="T85" s="20" t="b">
        <f>IF(AND(B85=TRUE(),ISNUMBER(Clean_Data!J85),ISNUMBER(Clean_Data!I85)),Clean_Data!J85&lt;=Clean_Data!I85,"")</f>
        <v>0</v>
      </c>
      <c r="U85" s="20" t="b">
        <f>IF(NOT(ISNUMBER(Clean_Data!L85)),FALSE(),AND(Clean_Data!L85&gt;=0,Clean_Data!L85&lt;=1))</f>
        <v>1</v>
      </c>
    </row>
    <row r="86" spans="1:21" x14ac:dyDescent="0.3">
      <c r="A86" s="2" t="str">
        <f>Clean_Data!A86</f>
        <v>TSK-0085</v>
      </c>
      <c r="B86" s="19" t="b">
        <f>Clean_Data!K86="Completed"</f>
        <v>1</v>
      </c>
      <c r="C86" s="19" t="b">
        <f>OR(Clean_Data!K86="Not Started",Clean_Data!K86="In Progress",Clean_Data!K86="On Hold")</f>
        <v>0</v>
      </c>
      <c r="D86" s="19" t="b">
        <f ca="1">AND(ISNUMBER(Clean_Data!I86),Clean_Data!I86&lt;TODAY(),Clean_Data!K86&lt;&gt;"Completed",Clean_Data!K86&lt;&gt;"Cancelled")</f>
        <v>0</v>
      </c>
      <c r="E86" s="2" t="str">
        <f ca="1">IF(AND(ISNUMBER(Clean_Data!H86),Clean_Data!K86&lt;&gt;"Completed",Clean_Data!K86&lt;&gt;"Cancelled"),TODAY()-Clean_Data!H86,"")</f>
        <v/>
      </c>
      <c r="F86" s="2">
        <f ca="1">IF(AND(B86=TRUE(),ISNUMBER(Clean_Data!J86),ISNUMBER(Clean_Data!I86)),MAX(0,Clean_Data!J86-Clean_Data!I86),IF(AND(B86=FALSE(),ISNUMBER(Clean_Data!I86),Clean_Data!I86&lt;TODAY(),Clean_Data!K86&lt;&gt;"Cancelled"),MAX(0,TODAY()-Clean_Data!I86),""))</f>
        <v>5</v>
      </c>
      <c r="G86" s="2">
        <f>IF(AND(B86=TRUE(),ISNUMBER(Clean_Data!J86),ISNUMBER(Clean_Data!H86)),Clean_Data!J86-Clean_Data!H86,"")</f>
        <v>11</v>
      </c>
      <c r="H86" s="2">
        <f ca="1">IF(AND(ISNUMBER(Clean_Data!J86),ISNUMBER(Clean_Data!H86)),Clean_Data!J86-Clean_Data!H86,IF(ISNUMBER(Clean_Data!H86),TODAY()-Clean_Data!H86,""))</f>
        <v>11</v>
      </c>
      <c r="I86" s="2" t="str">
        <f>IF(ISNUMBER(Clean_Data!I86),TEXT(Clean_Data!I86,"YYYY-MM"),"")</f>
        <v>2024-12</v>
      </c>
      <c r="J86" s="2" t="str">
        <f>IF(ISNUMBER(Clean_Data!H86),TEXT(Clean_Data!H86,"YYYY-MM"),"")</f>
        <v>2024-11</v>
      </c>
      <c r="K86" s="2" t="str">
        <f>IF(ISNUMBER(Clean_Data!J86),TEXT(Clean_Data!J86,"YYYY-MM"),"")</f>
        <v>2024-12</v>
      </c>
      <c r="L86" s="2">
        <f>IF(ISNUMBER(Clean_Data!H86),YEAR(Clean_Data!H86),"")</f>
        <v>2024</v>
      </c>
      <c r="M86" s="2">
        <f>IF(ISNUMBER(Clean_Data!H86),MONTH(Clean_Data!H86),"")</f>
        <v>11</v>
      </c>
      <c r="N86" s="2" t="str">
        <f>IF(ISNUMBER(Clean_Data!H86),TEXT(Clean_Data!H86,"MMMM"),"")</f>
        <v>November</v>
      </c>
      <c r="O86" s="19" t="b">
        <f t="shared" ca="1" si="2"/>
        <v>0</v>
      </c>
      <c r="P86" s="19" t="b">
        <f>AND(OR(Clean_Data!F86="High",Clean_Data!F86="Critical"),C86=TRUE())</f>
        <v>0</v>
      </c>
      <c r="Q86" s="19" t="b">
        <f ca="1">AND(OR(Clean_Data!F86="High",Clean_Data!F86="Critical"),D86=TRUE())</f>
        <v>0</v>
      </c>
      <c r="R86" s="19" t="b">
        <f ca="1">AND(Clean_Data!K86="In Progress",ISNUMBER(Clean_Data!H86),TODAY()-Clean_Data!H86&gt;30)</f>
        <v>0</v>
      </c>
      <c r="S86" s="2" t="str">
        <f>IF(B86=TRUE(),IF(AND(ISNUMBER(Clean_Data!N86),ISNUMBER(Clean_Data!M86),Clean_Data!M86&gt;0),IF(Clean_Data!N86&lt;=Clean_Data!M86*1.2,"Healthy","Over Budget"),"N/A"),IF(AND(Clean_Data!K86="In Progress",ISNUMBER(Clean_Data!L86)),IF(Clean_Data!L86&gt;=0.5,"On Track","Slow"),"N/A"))</f>
        <v>Healthy</v>
      </c>
      <c r="T86" s="19" t="b">
        <f>IF(AND(B86=TRUE(),ISNUMBER(Clean_Data!J86),ISNUMBER(Clean_Data!I86)),Clean_Data!J86&lt;=Clean_Data!I86,"")</f>
        <v>0</v>
      </c>
      <c r="U86" s="19" t="b">
        <f>IF(NOT(ISNUMBER(Clean_Data!L86)),FALSE(),AND(Clean_Data!L86&gt;=0,Clean_Data!L86&lt;=1))</f>
        <v>1</v>
      </c>
    </row>
    <row r="87" spans="1:21" x14ac:dyDescent="0.3">
      <c r="A87" s="5" t="str">
        <f>Clean_Data!A87</f>
        <v>TSK-0086</v>
      </c>
      <c r="B87" s="20" t="b">
        <f>Clean_Data!K87="Completed"</f>
        <v>0</v>
      </c>
      <c r="C87" s="20" t="b">
        <f>OR(Clean_Data!K87="Not Started",Clean_Data!K87="In Progress",Clean_Data!K87="On Hold")</f>
        <v>1</v>
      </c>
      <c r="D87" s="20" t="b">
        <f ca="1">AND(ISNUMBER(Clean_Data!I87),Clean_Data!I87&lt;TODAY(),Clean_Data!K87&lt;&gt;"Completed",Clean_Data!K87&lt;&gt;"Cancelled")</f>
        <v>1</v>
      </c>
      <c r="E87" s="5">
        <f ca="1">IF(AND(ISNUMBER(Clean_Data!H87),Clean_Data!K87&lt;&gt;"Completed",Clean_Data!K87&lt;&gt;"Cancelled"),TODAY()-Clean_Data!H87,"")</f>
        <v>690</v>
      </c>
      <c r="F87" s="5">
        <f ca="1">IF(AND(B87=TRUE(),ISNUMBER(Clean_Data!J87),ISNUMBER(Clean_Data!I87)),MAX(0,Clean_Data!J87-Clean_Data!I87),IF(AND(B87=FALSE(),ISNUMBER(Clean_Data!I87),Clean_Data!I87&lt;TODAY(),Clean_Data!K87&lt;&gt;"Cancelled"),MAX(0,TODAY()-Clean_Data!I87),""))</f>
        <v>646</v>
      </c>
      <c r="G87" s="5" t="str">
        <f>IF(AND(B87=TRUE(),ISNUMBER(Clean_Data!J87),ISNUMBER(Clean_Data!H87)),Clean_Data!J87-Clean_Data!H87,"")</f>
        <v/>
      </c>
      <c r="H87" s="5">
        <f ca="1">IF(AND(ISNUMBER(Clean_Data!J87),ISNUMBER(Clean_Data!H87)),Clean_Data!J87-Clean_Data!H87,IF(ISNUMBER(Clean_Data!H87),TODAY()-Clean_Data!H87,""))</f>
        <v>690</v>
      </c>
      <c r="I87" s="5" t="str">
        <f>IF(ISNUMBER(Clean_Data!I87),TEXT(Clean_Data!I87,"YYYY-MM"),"")</f>
        <v>2024-07</v>
      </c>
      <c r="J87" s="5" t="str">
        <f>IF(ISNUMBER(Clean_Data!H87),TEXT(Clean_Data!H87,"YYYY-MM"),"")</f>
        <v>2024-05</v>
      </c>
      <c r="K87" s="5" t="str">
        <f>IF(ISNUMBER(Clean_Data!J87),TEXT(Clean_Data!J87,"YYYY-MM"),"")</f>
        <v/>
      </c>
      <c r="L87" s="5">
        <f>IF(ISNUMBER(Clean_Data!H87),YEAR(Clean_Data!H87),"")</f>
        <v>2024</v>
      </c>
      <c r="M87" s="5">
        <f>IF(ISNUMBER(Clean_Data!H87),MONTH(Clean_Data!H87),"")</f>
        <v>5</v>
      </c>
      <c r="N87" s="5" t="str">
        <f>IF(ISNUMBER(Clean_Data!H87),TEXT(Clean_Data!H87,"MMMM"),"")</f>
        <v>May</v>
      </c>
      <c r="O87" s="20" t="b">
        <f t="shared" ca="1" si="2"/>
        <v>1</v>
      </c>
      <c r="P87" s="20" t="b">
        <f>AND(OR(Clean_Data!F87="High",Clean_Data!F87="Critical"),C87=TRUE())</f>
        <v>1</v>
      </c>
      <c r="Q87" s="20" t="b">
        <f ca="1">AND(OR(Clean_Data!F87="High",Clean_Data!F87="Critical"),D87=TRUE())</f>
        <v>1</v>
      </c>
      <c r="R87" s="20" t="b">
        <f ca="1">AND(Clean_Data!K87="In Progress",ISNUMBER(Clean_Data!H87),TODAY()-Clean_Data!H87&gt;30)</f>
        <v>0</v>
      </c>
      <c r="S87" s="5" t="str">
        <f>IF(B87=TRUE(),IF(AND(ISNUMBER(Clean_Data!N87),ISNUMBER(Clean_Data!M87),Clean_Data!M87&gt;0),IF(Clean_Data!N87&lt;=Clean_Data!M87*1.2,"Healthy","Over Budget"),"N/A"),IF(AND(Clean_Data!K87="In Progress",ISNUMBER(Clean_Data!L87)),IF(Clean_Data!L87&gt;=0.5,"On Track","Slow"),"N/A"))</f>
        <v>N/A</v>
      </c>
      <c r="T87" s="5" t="str">
        <f>IF(AND(B87=TRUE(),ISNUMBER(Clean_Data!J87),ISNUMBER(Clean_Data!I87)),Clean_Data!J87&lt;=Clean_Data!I87,"")</f>
        <v/>
      </c>
      <c r="U87" s="20" t="b">
        <f>IF(NOT(ISNUMBER(Clean_Data!L87)),FALSE(),AND(Clean_Data!L87&gt;=0,Clean_Data!L87&lt;=1))</f>
        <v>0</v>
      </c>
    </row>
    <row r="88" spans="1:21" x14ac:dyDescent="0.3">
      <c r="A88" s="2" t="str">
        <f>Clean_Data!A88</f>
        <v>TSK-0087</v>
      </c>
      <c r="B88" s="19" t="b">
        <f>Clean_Data!K88="Completed"</f>
        <v>0</v>
      </c>
      <c r="C88" s="19" t="b">
        <f>OR(Clean_Data!K88="Not Started",Clean_Data!K88="In Progress",Clean_Data!K88="On Hold")</f>
        <v>1</v>
      </c>
      <c r="D88" s="19" t="b">
        <f ca="1">AND(ISNUMBER(Clean_Data!I88),Clean_Data!I88&lt;TODAY(),Clean_Data!K88&lt;&gt;"Completed",Clean_Data!K88&lt;&gt;"Cancelled")</f>
        <v>1</v>
      </c>
      <c r="E88" s="2">
        <f ca="1">IF(AND(ISNUMBER(Clean_Data!H88),Clean_Data!K88&lt;&gt;"Completed",Clean_Data!K88&lt;&gt;"Cancelled"),TODAY()-Clean_Data!H88,"")</f>
        <v>610</v>
      </c>
      <c r="F88" s="2">
        <f ca="1">IF(AND(B88=TRUE(),ISNUMBER(Clean_Data!J88),ISNUMBER(Clean_Data!I88)),MAX(0,Clean_Data!J88-Clean_Data!I88),IF(AND(B88=FALSE(),ISNUMBER(Clean_Data!I88),Clean_Data!I88&lt;TODAY(),Clean_Data!K88&lt;&gt;"Cancelled"),MAX(0,TODAY()-Clean_Data!I88),""))</f>
        <v>577</v>
      </c>
      <c r="G88" s="2" t="str">
        <f>IF(AND(B88=TRUE(),ISNUMBER(Clean_Data!J88),ISNUMBER(Clean_Data!H88)),Clean_Data!J88-Clean_Data!H88,"")</f>
        <v/>
      </c>
      <c r="H88" s="2">
        <f ca="1">IF(AND(ISNUMBER(Clean_Data!J88),ISNUMBER(Clean_Data!H88)),Clean_Data!J88-Clean_Data!H88,IF(ISNUMBER(Clean_Data!H88),TODAY()-Clean_Data!H88,""))</f>
        <v>610</v>
      </c>
      <c r="I88" s="2" t="str">
        <f>IF(ISNUMBER(Clean_Data!I88),TEXT(Clean_Data!I88,"YYYY-MM"),"")</f>
        <v>2024-09</v>
      </c>
      <c r="J88" s="2" t="str">
        <f>IF(ISNUMBER(Clean_Data!H88),TEXT(Clean_Data!H88,"YYYY-MM"),"")</f>
        <v>2024-08</v>
      </c>
      <c r="K88" s="2" t="str">
        <f>IF(ISNUMBER(Clean_Data!J88),TEXT(Clean_Data!J88,"YYYY-MM"),"")</f>
        <v/>
      </c>
      <c r="L88" s="2">
        <f>IF(ISNUMBER(Clean_Data!H88),YEAR(Clean_Data!H88),"")</f>
        <v>2024</v>
      </c>
      <c r="M88" s="2">
        <f>IF(ISNUMBER(Clean_Data!H88),MONTH(Clean_Data!H88),"")</f>
        <v>8</v>
      </c>
      <c r="N88" s="2" t="str">
        <f>IF(ISNUMBER(Clean_Data!H88),TEXT(Clean_Data!H88,"MMMM"),"")</f>
        <v>August</v>
      </c>
      <c r="O88" s="19" t="b">
        <f t="shared" ca="1" si="2"/>
        <v>1</v>
      </c>
      <c r="P88" s="19" t="b">
        <f>AND(OR(Clean_Data!F88="High",Clean_Data!F88="Critical"),C88=TRUE())</f>
        <v>1</v>
      </c>
      <c r="Q88" s="19" t="b">
        <f ca="1">AND(OR(Clean_Data!F88="High",Clean_Data!F88="Critical"),D88=TRUE())</f>
        <v>1</v>
      </c>
      <c r="R88" s="19" t="b">
        <f ca="1">AND(Clean_Data!K88="In Progress",ISNUMBER(Clean_Data!H88),TODAY()-Clean_Data!H88&gt;30)</f>
        <v>1</v>
      </c>
      <c r="S88" s="2" t="str">
        <f>IF(B88=TRUE(),IF(AND(ISNUMBER(Clean_Data!N88),ISNUMBER(Clean_Data!M88),Clean_Data!M88&gt;0),IF(Clean_Data!N88&lt;=Clean_Data!M88*1.2,"Healthy","Over Budget"),"N/A"),IF(AND(Clean_Data!K88="In Progress",ISNUMBER(Clean_Data!L88)),IF(Clean_Data!L88&gt;=0.5,"On Track","Slow"),"N/A"))</f>
        <v>N/A</v>
      </c>
      <c r="T88" s="2" t="str">
        <f>IF(AND(B88=TRUE(),ISNUMBER(Clean_Data!J88),ISNUMBER(Clean_Data!I88)),Clean_Data!J88&lt;=Clean_Data!I88,"")</f>
        <v/>
      </c>
      <c r="U88" s="19" t="b">
        <f>IF(NOT(ISNUMBER(Clean_Data!L88)),FALSE(),AND(Clean_Data!L88&gt;=0,Clean_Data!L88&lt;=1))</f>
        <v>0</v>
      </c>
    </row>
    <row r="89" spans="1:21" x14ac:dyDescent="0.3">
      <c r="A89" s="5" t="str">
        <f>Clean_Data!A89</f>
        <v>TSK-0088</v>
      </c>
      <c r="B89" s="20" t="b">
        <f>Clean_Data!K89="Completed"</f>
        <v>0</v>
      </c>
      <c r="C89" s="20" t="b">
        <f>OR(Clean_Data!K89="Not Started",Clean_Data!K89="In Progress",Clean_Data!K89="On Hold")</f>
        <v>1</v>
      </c>
      <c r="D89" s="20" t="b">
        <f ca="1">AND(ISNUMBER(Clean_Data!I89),Clean_Data!I89&lt;TODAY(),Clean_Data!K89&lt;&gt;"Completed",Clean_Data!K89&lt;&gt;"Cancelled")</f>
        <v>1</v>
      </c>
      <c r="E89" s="5">
        <f ca="1">IF(AND(ISNUMBER(Clean_Data!H89),Clean_Data!K89&lt;&gt;"Completed",Clean_Data!K89&lt;&gt;"Cancelled"),TODAY()-Clean_Data!H89,"")</f>
        <v>787</v>
      </c>
      <c r="F89" s="5">
        <f ca="1">IF(AND(B89=TRUE(),ISNUMBER(Clean_Data!J89),ISNUMBER(Clean_Data!I89)),MAX(0,Clean_Data!J89-Clean_Data!I89),IF(AND(B89=FALSE(),ISNUMBER(Clean_Data!I89),Clean_Data!I89&lt;TODAY(),Clean_Data!K89&lt;&gt;"Cancelled"),MAX(0,TODAY()-Clean_Data!I89),""))</f>
        <v>777</v>
      </c>
      <c r="G89" s="5" t="str">
        <f>IF(AND(B89=TRUE(),ISNUMBER(Clean_Data!J89),ISNUMBER(Clean_Data!H89)),Clean_Data!J89-Clean_Data!H89,"")</f>
        <v/>
      </c>
      <c r="H89" s="5">
        <f ca="1">IF(AND(ISNUMBER(Clean_Data!J89),ISNUMBER(Clean_Data!H89)),Clean_Data!J89-Clean_Data!H89,IF(ISNUMBER(Clean_Data!H89),TODAY()-Clean_Data!H89,""))</f>
        <v>787</v>
      </c>
      <c r="I89" s="5" t="str">
        <f>IF(ISNUMBER(Clean_Data!I89),TEXT(Clean_Data!I89,"YYYY-MM"),"")</f>
        <v>2024-02</v>
      </c>
      <c r="J89" s="5" t="str">
        <f>IF(ISNUMBER(Clean_Data!H89),TEXT(Clean_Data!H89,"YYYY-MM"),"")</f>
        <v>2024-02</v>
      </c>
      <c r="K89" s="5" t="str">
        <f>IF(ISNUMBER(Clean_Data!J89),TEXT(Clean_Data!J89,"YYYY-MM"),"")</f>
        <v/>
      </c>
      <c r="L89" s="5">
        <f>IF(ISNUMBER(Clean_Data!H89),YEAR(Clean_Data!H89),"")</f>
        <v>2024</v>
      </c>
      <c r="M89" s="5">
        <f>IF(ISNUMBER(Clean_Data!H89),MONTH(Clean_Data!H89),"")</f>
        <v>2</v>
      </c>
      <c r="N89" s="5" t="str">
        <f>IF(ISNUMBER(Clean_Data!H89),TEXT(Clean_Data!H89,"MMMM"),"")</f>
        <v>February</v>
      </c>
      <c r="O89" s="20" t="b">
        <f t="shared" ca="1" si="2"/>
        <v>1</v>
      </c>
      <c r="P89" s="20" t="b">
        <f>AND(OR(Clean_Data!F89="High",Clean_Data!F89="Critical"),C89=TRUE())</f>
        <v>1</v>
      </c>
      <c r="Q89" s="20" t="b">
        <f ca="1">AND(OR(Clean_Data!F89="High",Clean_Data!F89="Critical"),D89=TRUE())</f>
        <v>1</v>
      </c>
      <c r="R89" s="20" t="b">
        <f ca="1">AND(Clean_Data!K89="In Progress",ISNUMBER(Clean_Data!H89),TODAY()-Clean_Data!H89&gt;30)</f>
        <v>0</v>
      </c>
      <c r="S89" s="5" t="str">
        <f>IF(B89=TRUE(),IF(AND(ISNUMBER(Clean_Data!N89),ISNUMBER(Clean_Data!M89),Clean_Data!M89&gt;0),IF(Clean_Data!N89&lt;=Clean_Data!M89*1.2,"Healthy","Over Budget"),"N/A"),IF(AND(Clean_Data!K89="In Progress",ISNUMBER(Clean_Data!L89)),IF(Clean_Data!L89&gt;=0.5,"On Track","Slow"),"N/A"))</f>
        <v>N/A</v>
      </c>
      <c r="T89" s="5" t="str">
        <f>IF(AND(B89=TRUE(),ISNUMBER(Clean_Data!J89),ISNUMBER(Clean_Data!I89)),Clean_Data!J89&lt;=Clean_Data!I89,"")</f>
        <v/>
      </c>
      <c r="U89" s="20" t="b">
        <f>IF(NOT(ISNUMBER(Clean_Data!L89)),FALSE(),AND(Clean_Data!L89&gt;=0,Clean_Data!L89&lt;=1))</f>
        <v>0</v>
      </c>
    </row>
    <row r="90" spans="1:21" x14ac:dyDescent="0.3">
      <c r="A90" s="2" t="str">
        <f>Clean_Data!A90</f>
        <v>TSK-0089</v>
      </c>
      <c r="B90" s="19" t="b">
        <f>Clean_Data!K90="Completed"</f>
        <v>0</v>
      </c>
      <c r="C90" s="19" t="b">
        <f>OR(Clean_Data!K90="Not Started",Clean_Data!K90="In Progress",Clean_Data!K90="On Hold")</f>
        <v>1</v>
      </c>
      <c r="D90" s="19" t="b">
        <f ca="1">AND(ISNUMBER(Clean_Data!I90),Clean_Data!I90&lt;TODAY(),Clean_Data!K90&lt;&gt;"Completed",Clean_Data!K90&lt;&gt;"Cancelled")</f>
        <v>1</v>
      </c>
      <c r="E90" s="2">
        <f ca="1">IF(AND(ISNUMBER(Clean_Data!H90),Clean_Data!K90&lt;&gt;"Completed",Clean_Data!K90&lt;&gt;"Cancelled"),TODAY()-Clean_Data!H90,"")</f>
        <v>490</v>
      </c>
      <c r="F90" s="2">
        <f ca="1">IF(AND(B90=TRUE(),ISNUMBER(Clean_Data!J90),ISNUMBER(Clean_Data!I90)),MAX(0,Clean_Data!J90-Clean_Data!I90),IF(AND(B90=FALSE(),ISNUMBER(Clean_Data!I90),Clean_Data!I90&lt;TODAY(),Clean_Data!K90&lt;&gt;"Cancelled"),MAX(0,TODAY()-Clean_Data!I90),""))</f>
        <v>437</v>
      </c>
      <c r="G90" s="2" t="str">
        <f>IF(AND(B90=TRUE(),ISNUMBER(Clean_Data!J90),ISNUMBER(Clean_Data!H90)),Clean_Data!J90-Clean_Data!H90,"")</f>
        <v/>
      </c>
      <c r="H90" s="2">
        <f ca="1">IF(AND(ISNUMBER(Clean_Data!J90),ISNUMBER(Clean_Data!H90)),Clean_Data!J90-Clean_Data!H90,IF(ISNUMBER(Clean_Data!H90),TODAY()-Clean_Data!H90,""))</f>
        <v>490</v>
      </c>
      <c r="I90" s="2" t="str">
        <f>IF(ISNUMBER(Clean_Data!I90),TEXT(Clean_Data!I90,"YYYY-MM"),"")</f>
        <v>2025-02</v>
      </c>
      <c r="J90" s="2" t="str">
        <f>IF(ISNUMBER(Clean_Data!H90),TEXT(Clean_Data!H90,"YYYY-MM"),"")</f>
        <v>2024-12</v>
      </c>
      <c r="K90" s="2" t="str">
        <f>IF(ISNUMBER(Clean_Data!J90),TEXT(Clean_Data!J90,"YYYY-MM"),"")</f>
        <v/>
      </c>
      <c r="L90" s="2">
        <f>IF(ISNUMBER(Clean_Data!H90),YEAR(Clean_Data!H90),"")</f>
        <v>2024</v>
      </c>
      <c r="M90" s="2">
        <f>IF(ISNUMBER(Clean_Data!H90),MONTH(Clean_Data!H90),"")</f>
        <v>12</v>
      </c>
      <c r="N90" s="2" t="str">
        <f>IF(ISNUMBER(Clean_Data!H90),TEXT(Clean_Data!H90,"MMMM"),"")</f>
        <v>December</v>
      </c>
      <c r="O90" s="19" t="b">
        <f t="shared" ca="1" si="2"/>
        <v>1</v>
      </c>
      <c r="P90" s="19" t="b">
        <f>AND(OR(Clean_Data!F90="High",Clean_Data!F90="Critical"),C90=TRUE())</f>
        <v>0</v>
      </c>
      <c r="Q90" s="19" t="b">
        <f ca="1">AND(OR(Clean_Data!F90="High",Clean_Data!F90="Critical"),D90=TRUE())</f>
        <v>0</v>
      </c>
      <c r="R90" s="19" t="b">
        <f ca="1">AND(Clean_Data!K90="In Progress",ISNUMBER(Clean_Data!H90),TODAY()-Clean_Data!H90&gt;30)</f>
        <v>0</v>
      </c>
      <c r="S90" s="2" t="str">
        <f>IF(B90=TRUE(),IF(AND(ISNUMBER(Clean_Data!N90),ISNUMBER(Clean_Data!M90),Clean_Data!M90&gt;0),IF(Clean_Data!N90&lt;=Clean_Data!M90*1.2,"Healthy","Over Budget"),"N/A"),IF(AND(Clean_Data!K90="In Progress",ISNUMBER(Clean_Data!L90)),IF(Clean_Data!L90&gt;=0.5,"On Track","Slow"),"N/A"))</f>
        <v>N/A</v>
      </c>
      <c r="T90" s="2" t="str">
        <f>IF(AND(B90=TRUE(),ISNUMBER(Clean_Data!J90),ISNUMBER(Clean_Data!I90)),Clean_Data!J90&lt;=Clean_Data!I90,"")</f>
        <v/>
      </c>
      <c r="U90" s="19" t="b">
        <f>IF(NOT(ISNUMBER(Clean_Data!L90)),FALSE(),AND(Clean_Data!L90&gt;=0,Clean_Data!L90&lt;=1))</f>
        <v>0</v>
      </c>
    </row>
    <row r="91" spans="1:21" x14ac:dyDescent="0.3">
      <c r="A91" s="5" t="str">
        <f>Clean_Data!A91</f>
        <v>TSK-0090</v>
      </c>
      <c r="B91" s="20" t="b">
        <f>Clean_Data!K91="Completed"</f>
        <v>0</v>
      </c>
      <c r="C91" s="20" t="b">
        <f>OR(Clean_Data!K91="Not Started",Clean_Data!K91="In Progress",Clean_Data!K91="On Hold")</f>
        <v>1</v>
      </c>
      <c r="D91" s="20" t="b">
        <f ca="1">AND(ISNUMBER(Clean_Data!I91),Clean_Data!I91&lt;TODAY(),Clean_Data!K91&lt;&gt;"Completed",Clean_Data!K91&lt;&gt;"Cancelled")</f>
        <v>1</v>
      </c>
      <c r="E91" s="5">
        <f ca="1">IF(AND(ISNUMBER(Clean_Data!H91),Clean_Data!K91&lt;&gt;"Completed",Clean_Data!K91&lt;&gt;"Cancelled"),TODAY()-Clean_Data!H91,"")</f>
        <v>651</v>
      </c>
      <c r="F91" s="5">
        <f ca="1">IF(AND(B91=TRUE(),ISNUMBER(Clean_Data!J91),ISNUMBER(Clean_Data!I91)),MAX(0,Clean_Data!J91-Clean_Data!I91),IF(AND(B91=FALSE(),ISNUMBER(Clean_Data!I91),Clean_Data!I91&lt;TODAY(),Clean_Data!K91&lt;&gt;"Cancelled"),MAX(0,TODAY()-Clean_Data!I91),""))</f>
        <v>592</v>
      </c>
      <c r="G91" s="5" t="str">
        <f>IF(AND(B91=TRUE(),ISNUMBER(Clean_Data!J91),ISNUMBER(Clean_Data!H91)),Clean_Data!J91-Clean_Data!H91,"")</f>
        <v/>
      </c>
      <c r="H91" s="5">
        <f ca="1">IF(AND(ISNUMBER(Clean_Data!J91),ISNUMBER(Clean_Data!H91)),Clean_Data!J91-Clean_Data!H91,IF(ISNUMBER(Clean_Data!H91),TODAY()-Clean_Data!H91,""))</f>
        <v>651</v>
      </c>
      <c r="I91" s="5" t="str">
        <f>IF(ISNUMBER(Clean_Data!I91),TEXT(Clean_Data!I91,"YYYY-MM"),"")</f>
        <v>2024-08</v>
      </c>
      <c r="J91" s="5" t="str">
        <f>IF(ISNUMBER(Clean_Data!H91),TEXT(Clean_Data!H91,"YYYY-MM"),"")</f>
        <v>2024-07</v>
      </c>
      <c r="K91" s="5" t="str">
        <f>IF(ISNUMBER(Clean_Data!J91),TEXT(Clean_Data!J91,"YYYY-MM"),"")</f>
        <v/>
      </c>
      <c r="L91" s="5">
        <f>IF(ISNUMBER(Clean_Data!H91),YEAR(Clean_Data!H91),"")</f>
        <v>2024</v>
      </c>
      <c r="M91" s="5">
        <f>IF(ISNUMBER(Clean_Data!H91),MONTH(Clean_Data!H91),"")</f>
        <v>7</v>
      </c>
      <c r="N91" s="5" t="str">
        <f>IF(ISNUMBER(Clean_Data!H91),TEXT(Clean_Data!H91,"MMMM"),"")</f>
        <v>July</v>
      </c>
      <c r="O91" s="20" t="b">
        <f t="shared" ca="1" si="2"/>
        <v>1</v>
      </c>
      <c r="P91" s="20" t="b">
        <f>AND(OR(Clean_Data!F91="High",Clean_Data!F91="Critical"),C91=TRUE())</f>
        <v>1</v>
      </c>
      <c r="Q91" s="20" t="b">
        <f ca="1">AND(OR(Clean_Data!F91="High",Clean_Data!F91="Critical"),D91=TRUE())</f>
        <v>1</v>
      </c>
      <c r="R91" s="20" t="b">
        <f ca="1">AND(Clean_Data!K91="In Progress",ISNUMBER(Clean_Data!H91),TODAY()-Clean_Data!H91&gt;30)</f>
        <v>0</v>
      </c>
      <c r="S91" s="5" t="str">
        <f>IF(B91=TRUE(),IF(AND(ISNUMBER(Clean_Data!N91),ISNUMBER(Clean_Data!M91),Clean_Data!M91&gt;0),IF(Clean_Data!N91&lt;=Clean_Data!M91*1.2,"Healthy","Over Budget"),"N/A"),IF(AND(Clean_Data!K91="In Progress",ISNUMBER(Clean_Data!L91)),IF(Clean_Data!L91&gt;=0.5,"On Track","Slow"),"N/A"))</f>
        <v>N/A</v>
      </c>
      <c r="T91" s="5" t="str">
        <f>IF(AND(B91=TRUE(),ISNUMBER(Clean_Data!J91),ISNUMBER(Clean_Data!I91)),Clean_Data!J91&lt;=Clean_Data!I91,"")</f>
        <v/>
      </c>
      <c r="U91" s="20" t="b">
        <f>IF(NOT(ISNUMBER(Clean_Data!L91)),FALSE(),AND(Clean_Data!L91&gt;=0,Clean_Data!L91&lt;=1))</f>
        <v>1</v>
      </c>
    </row>
    <row r="92" spans="1:21" x14ac:dyDescent="0.3">
      <c r="A92" s="2" t="str">
        <f>Clean_Data!A92</f>
        <v>TSK-0091</v>
      </c>
      <c r="B92" s="19" t="b">
        <f>Clean_Data!K92="Completed"</f>
        <v>0</v>
      </c>
      <c r="C92" s="19" t="b">
        <f>OR(Clean_Data!K92="Not Started",Clean_Data!K92="In Progress",Clean_Data!K92="On Hold")</f>
        <v>1</v>
      </c>
      <c r="D92" s="19" t="b">
        <f ca="1">AND(ISNUMBER(Clean_Data!I92),Clean_Data!I92&lt;TODAY(),Clean_Data!K92&lt;&gt;"Completed",Clean_Data!K92&lt;&gt;"Cancelled")</f>
        <v>1</v>
      </c>
      <c r="E92" s="2">
        <f ca="1">IF(AND(ISNUMBER(Clean_Data!H92),Clean_Data!K92&lt;&gt;"Completed",Clean_Data!K92&lt;&gt;"Cancelled"),TODAY()-Clean_Data!H92,"")</f>
        <v>691</v>
      </c>
      <c r="F92" s="2">
        <f ca="1">IF(AND(B92=TRUE(),ISNUMBER(Clean_Data!J92),ISNUMBER(Clean_Data!I92)),MAX(0,Clean_Data!J92-Clean_Data!I92),IF(AND(B92=FALSE(),ISNUMBER(Clean_Data!I92),Clean_Data!I92&lt;TODAY(),Clean_Data!K92&lt;&gt;"Cancelled"),MAX(0,TODAY()-Clean_Data!I92),""))</f>
        <v>642</v>
      </c>
      <c r="G92" s="2" t="str">
        <f>IF(AND(B92=TRUE(),ISNUMBER(Clean_Data!J92),ISNUMBER(Clean_Data!H92)),Clean_Data!J92-Clean_Data!H92,"")</f>
        <v/>
      </c>
      <c r="H92" s="2">
        <f ca="1">IF(AND(ISNUMBER(Clean_Data!J92),ISNUMBER(Clean_Data!H92)),Clean_Data!J92-Clean_Data!H92,IF(ISNUMBER(Clean_Data!H92),TODAY()-Clean_Data!H92,""))</f>
        <v>691</v>
      </c>
      <c r="I92" s="2" t="str">
        <f>IF(ISNUMBER(Clean_Data!I92),TEXT(Clean_Data!I92,"YYYY-MM"),"")</f>
        <v>2024-07</v>
      </c>
      <c r="J92" s="2" t="str">
        <f>IF(ISNUMBER(Clean_Data!H92),TEXT(Clean_Data!H92,"YYYY-MM"),"")</f>
        <v>2024-05</v>
      </c>
      <c r="K92" s="2" t="str">
        <f>IF(ISNUMBER(Clean_Data!J92),TEXT(Clean_Data!J92,"YYYY-MM"),"")</f>
        <v/>
      </c>
      <c r="L92" s="2">
        <f>IF(ISNUMBER(Clean_Data!H92),YEAR(Clean_Data!H92),"")</f>
        <v>2024</v>
      </c>
      <c r="M92" s="2">
        <f>IF(ISNUMBER(Clean_Data!H92),MONTH(Clean_Data!H92),"")</f>
        <v>5</v>
      </c>
      <c r="N92" s="2" t="str">
        <f>IF(ISNUMBER(Clean_Data!H92),TEXT(Clean_Data!H92,"MMMM"),"")</f>
        <v>May</v>
      </c>
      <c r="O92" s="19" t="b">
        <f t="shared" ca="1" si="2"/>
        <v>1</v>
      </c>
      <c r="P92" s="19" t="b">
        <f>AND(OR(Clean_Data!F92="High",Clean_Data!F92="Critical"),C92=TRUE())</f>
        <v>1</v>
      </c>
      <c r="Q92" s="19" t="b">
        <f ca="1">AND(OR(Clean_Data!F92="High",Clean_Data!F92="Critical"),D92=TRUE())</f>
        <v>1</v>
      </c>
      <c r="R92" s="19" t="b">
        <f ca="1">AND(Clean_Data!K92="In Progress",ISNUMBER(Clean_Data!H92),TODAY()-Clean_Data!H92&gt;30)</f>
        <v>0</v>
      </c>
      <c r="S92" s="2" t="str">
        <f>IF(B92=TRUE(),IF(AND(ISNUMBER(Clean_Data!N92),ISNUMBER(Clean_Data!M92),Clean_Data!M92&gt;0),IF(Clean_Data!N92&lt;=Clean_Data!M92*1.2,"Healthy","Over Budget"),"N/A"),IF(AND(Clean_Data!K92="In Progress",ISNUMBER(Clean_Data!L92)),IF(Clean_Data!L92&gt;=0.5,"On Track","Slow"),"N/A"))</f>
        <v>N/A</v>
      </c>
      <c r="T92" s="2" t="str">
        <f>IF(AND(B92=TRUE(),ISNUMBER(Clean_Data!J92),ISNUMBER(Clean_Data!I92)),Clean_Data!J92&lt;=Clean_Data!I92,"")</f>
        <v/>
      </c>
      <c r="U92" s="19" t="b">
        <f>IF(NOT(ISNUMBER(Clean_Data!L92)),FALSE(),AND(Clean_Data!L92&gt;=0,Clean_Data!L92&lt;=1))</f>
        <v>1</v>
      </c>
    </row>
    <row r="93" spans="1:21" x14ac:dyDescent="0.3">
      <c r="A93" s="5" t="str">
        <f>Clean_Data!A93</f>
        <v>TSK-0092</v>
      </c>
      <c r="B93" s="20" t="b">
        <f>Clean_Data!K93="Completed"</f>
        <v>0</v>
      </c>
      <c r="C93" s="20" t="b">
        <f>OR(Clean_Data!K93="Not Started",Clean_Data!K93="In Progress",Clean_Data!K93="On Hold")</f>
        <v>1</v>
      </c>
      <c r="D93" s="20" t="b">
        <f ca="1">AND(ISNUMBER(Clean_Data!I93),Clean_Data!I93&lt;TODAY(),Clean_Data!K93&lt;&gt;"Completed",Clean_Data!K93&lt;&gt;"Cancelled")</f>
        <v>1</v>
      </c>
      <c r="E93" s="5">
        <f ca="1">IF(AND(ISNUMBER(Clean_Data!H93),Clean_Data!K93&lt;&gt;"Completed",Clean_Data!K93&lt;&gt;"Cancelled"),TODAY()-Clean_Data!H93,"")</f>
        <v>720</v>
      </c>
      <c r="F93" s="5">
        <f ca="1">IF(AND(B93=TRUE(),ISNUMBER(Clean_Data!J93),ISNUMBER(Clean_Data!I93)),MAX(0,Clean_Data!J93-Clean_Data!I93),IF(AND(B93=FALSE(),ISNUMBER(Clean_Data!I93),Clean_Data!I93&lt;TODAY(),Clean_Data!K93&lt;&gt;"Cancelled"),MAX(0,TODAY()-Clean_Data!I93),""))</f>
        <v>691</v>
      </c>
      <c r="G93" s="5" t="str">
        <f>IF(AND(B93=TRUE(),ISNUMBER(Clean_Data!J93),ISNUMBER(Clean_Data!H93)),Clean_Data!J93-Clean_Data!H93,"")</f>
        <v/>
      </c>
      <c r="H93" s="5">
        <f ca="1">IF(AND(ISNUMBER(Clean_Data!J93),ISNUMBER(Clean_Data!H93)),Clean_Data!J93-Clean_Data!H93,IF(ISNUMBER(Clean_Data!H93),TODAY()-Clean_Data!H93,""))</f>
        <v>720</v>
      </c>
      <c r="I93" s="5" t="str">
        <f>IF(ISNUMBER(Clean_Data!I93),TEXT(Clean_Data!I93,"YYYY-MM"),"")</f>
        <v>2024-05</v>
      </c>
      <c r="J93" s="5" t="str">
        <f>IF(ISNUMBER(Clean_Data!H93),TEXT(Clean_Data!H93,"YYYY-MM"),"")</f>
        <v>2024-04</v>
      </c>
      <c r="K93" s="5" t="str">
        <f>IF(ISNUMBER(Clean_Data!J93),TEXT(Clean_Data!J93,"YYYY-MM"),"")</f>
        <v/>
      </c>
      <c r="L93" s="5">
        <f>IF(ISNUMBER(Clean_Data!H93),YEAR(Clean_Data!H93),"")</f>
        <v>2024</v>
      </c>
      <c r="M93" s="5">
        <f>IF(ISNUMBER(Clean_Data!H93),MONTH(Clean_Data!H93),"")</f>
        <v>4</v>
      </c>
      <c r="N93" s="5" t="str">
        <f>IF(ISNUMBER(Clean_Data!H93),TEXT(Clean_Data!H93,"MMMM"),"")</f>
        <v>April</v>
      </c>
      <c r="O93" s="20" t="b">
        <f t="shared" ca="1" si="2"/>
        <v>1</v>
      </c>
      <c r="P93" s="20" t="b">
        <f>AND(OR(Clean_Data!F93="High",Clean_Data!F93="Critical"),C93=TRUE())</f>
        <v>1</v>
      </c>
      <c r="Q93" s="20" t="b">
        <f ca="1">AND(OR(Clean_Data!F93="High",Clean_Data!F93="Critical"),D93=TRUE())</f>
        <v>1</v>
      </c>
      <c r="R93" s="20" t="b">
        <f ca="1">AND(Clean_Data!K93="In Progress",ISNUMBER(Clean_Data!H93),TODAY()-Clean_Data!H93&gt;30)</f>
        <v>0</v>
      </c>
      <c r="S93" s="5" t="str">
        <f>IF(B93=TRUE(),IF(AND(ISNUMBER(Clean_Data!N93),ISNUMBER(Clean_Data!M93),Clean_Data!M93&gt;0),IF(Clean_Data!N93&lt;=Clean_Data!M93*1.2,"Healthy","Over Budget"),"N/A"),IF(AND(Clean_Data!K93="In Progress",ISNUMBER(Clean_Data!L93)),IF(Clean_Data!L93&gt;=0.5,"On Track","Slow"),"N/A"))</f>
        <v>N/A</v>
      </c>
      <c r="T93" s="5" t="str">
        <f>IF(AND(B93=TRUE(),ISNUMBER(Clean_Data!J93),ISNUMBER(Clean_Data!I93)),Clean_Data!J93&lt;=Clean_Data!I93,"")</f>
        <v/>
      </c>
      <c r="U93" s="20" t="b">
        <f>IF(NOT(ISNUMBER(Clean_Data!L93)),FALSE(),AND(Clean_Data!L93&gt;=0,Clean_Data!L93&lt;=1))</f>
        <v>0</v>
      </c>
    </row>
    <row r="94" spans="1:21" x14ac:dyDescent="0.3">
      <c r="A94" s="2" t="str">
        <f>Clean_Data!A94</f>
        <v>TSK-0093</v>
      </c>
      <c r="B94" s="19" t="b">
        <f>Clean_Data!K94="Completed"</f>
        <v>1</v>
      </c>
      <c r="C94" s="19" t="b">
        <f>OR(Clean_Data!K94="Not Started",Clean_Data!K94="In Progress",Clean_Data!K94="On Hold")</f>
        <v>0</v>
      </c>
      <c r="D94" s="19" t="b">
        <f ca="1">AND(ISNUMBER(Clean_Data!I94),Clean_Data!I94&lt;TODAY(),Clean_Data!K94&lt;&gt;"Completed",Clean_Data!K94&lt;&gt;"Cancelled")</f>
        <v>0</v>
      </c>
      <c r="E94" s="2" t="str">
        <f ca="1">IF(AND(ISNUMBER(Clean_Data!H94),Clean_Data!K94&lt;&gt;"Completed",Clean_Data!K94&lt;&gt;"Cancelled"),TODAY()-Clean_Data!H94,"")</f>
        <v/>
      </c>
      <c r="F94" s="2">
        <f ca="1">IF(AND(B94=TRUE(),ISNUMBER(Clean_Data!J94),ISNUMBER(Clean_Data!I94)),MAX(0,Clean_Data!J94-Clean_Data!I94),IF(AND(B94=FALSE(),ISNUMBER(Clean_Data!I94),Clean_Data!I94&lt;TODAY(),Clean_Data!K94&lt;&gt;"Cancelled"),MAX(0,TODAY()-Clean_Data!I94),""))</f>
        <v>11</v>
      </c>
      <c r="G94" s="2">
        <f>IF(AND(B94=TRUE(),ISNUMBER(Clean_Data!J94),ISNUMBER(Clean_Data!H94)),Clean_Data!J94-Clean_Data!H94,"")</f>
        <v>55</v>
      </c>
      <c r="H94" s="2">
        <f ca="1">IF(AND(ISNUMBER(Clean_Data!J94),ISNUMBER(Clean_Data!H94)),Clean_Data!J94-Clean_Data!H94,IF(ISNUMBER(Clean_Data!H94),TODAY()-Clean_Data!H94,""))</f>
        <v>55</v>
      </c>
      <c r="I94" s="2" t="str">
        <f>IF(ISNUMBER(Clean_Data!I94),TEXT(Clean_Data!I94,"YYYY-MM"),"")</f>
        <v>2025-03</v>
      </c>
      <c r="J94" s="2" t="str">
        <f>IF(ISNUMBER(Clean_Data!H94),TEXT(Clean_Data!H94,"YYYY-MM"),"")</f>
        <v>2025-01</v>
      </c>
      <c r="K94" s="2" t="str">
        <f>IF(ISNUMBER(Clean_Data!J94),TEXT(Clean_Data!J94,"YYYY-MM"),"")</f>
        <v>2025-03</v>
      </c>
      <c r="L94" s="2">
        <f>IF(ISNUMBER(Clean_Data!H94),YEAR(Clean_Data!H94),"")</f>
        <v>2025</v>
      </c>
      <c r="M94" s="2">
        <f>IF(ISNUMBER(Clean_Data!H94),MONTH(Clean_Data!H94),"")</f>
        <v>1</v>
      </c>
      <c r="N94" s="2" t="str">
        <f>IF(ISNUMBER(Clean_Data!H94),TEXT(Clean_Data!H94,"MMMM"),"")</f>
        <v>January</v>
      </c>
      <c r="O94" s="19" t="b">
        <f t="shared" ca="1" si="2"/>
        <v>0</v>
      </c>
      <c r="P94" s="19" t="b">
        <f>AND(OR(Clean_Data!F94="High",Clean_Data!F94="Critical"),C94=TRUE())</f>
        <v>0</v>
      </c>
      <c r="Q94" s="19" t="b">
        <f ca="1">AND(OR(Clean_Data!F94="High",Clean_Data!F94="Critical"),D94=TRUE())</f>
        <v>0</v>
      </c>
      <c r="R94" s="19" t="b">
        <f ca="1">AND(Clean_Data!K94="In Progress",ISNUMBER(Clean_Data!H94),TODAY()-Clean_Data!H94&gt;30)</f>
        <v>0</v>
      </c>
      <c r="S94" s="2" t="str">
        <f>IF(B94=TRUE(),IF(AND(ISNUMBER(Clean_Data!N94),ISNUMBER(Clean_Data!M94),Clean_Data!M94&gt;0),IF(Clean_Data!N94&lt;=Clean_Data!M94*1.2,"Healthy","Over Budget"),"N/A"),IF(AND(Clean_Data!K94="In Progress",ISNUMBER(Clean_Data!L94)),IF(Clean_Data!L94&gt;=0.5,"On Track","Slow"),"N/A"))</f>
        <v>Over Budget</v>
      </c>
      <c r="T94" s="19" t="b">
        <f>IF(AND(B94=TRUE(),ISNUMBER(Clean_Data!J94),ISNUMBER(Clean_Data!I94)),Clean_Data!J94&lt;=Clean_Data!I94,"")</f>
        <v>0</v>
      </c>
      <c r="U94" s="19" t="b">
        <f>IF(NOT(ISNUMBER(Clean_Data!L94)),FALSE(),AND(Clean_Data!L94&gt;=0,Clean_Data!L94&lt;=1))</f>
        <v>1</v>
      </c>
    </row>
    <row r="95" spans="1:21" x14ac:dyDescent="0.3">
      <c r="A95" s="5" t="str">
        <f>Clean_Data!A95</f>
        <v>TSK-0094</v>
      </c>
      <c r="B95" s="20" t="b">
        <f>Clean_Data!K95="Completed"</f>
        <v>0</v>
      </c>
      <c r="C95" s="20" t="b">
        <f>OR(Clean_Data!K95="Not Started",Clean_Data!K95="In Progress",Clean_Data!K95="On Hold")</f>
        <v>1</v>
      </c>
      <c r="D95" s="20" t="b">
        <f ca="1">AND(ISNUMBER(Clean_Data!I95),Clean_Data!I95&lt;TODAY(),Clean_Data!K95&lt;&gt;"Completed",Clean_Data!K95&lt;&gt;"Cancelled")</f>
        <v>1</v>
      </c>
      <c r="E95" s="5">
        <f ca="1">IF(AND(ISNUMBER(Clean_Data!H95),Clean_Data!K95&lt;&gt;"Completed",Clean_Data!K95&lt;&gt;"Cancelled"),TODAY()-Clean_Data!H95,"")</f>
        <v>610</v>
      </c>
      <c r="F95" s="5">
        <f ca="1">IF(AND(B95=TRUE(),ISNUMBER(Clean_Data!J95),ISNUMBER(Clean_Data!I95)),MAX(0,Clean_Data!J95-Clean_Data!I95),IF(AND(B95=FALSE(),ISNUMBER(Clean_Data!I95),Clean_Data!I95&lt;TODAY(),Clean_Data!K95&lt;&gt;"Cancelled"),MAX(0,TODAY()-Clean_Data!I95),""))</f>
        <v>598</v>
      </c>
      <c r="G95" s="5" t="str">
        <f>IF(AND(B95=TRUE(),ISNUMBER(Clean_Data!J95),ISNUMBER(Clean_Data!H95)),Clean_Data!J95-Clean_Data!H95,"")</f>
        <v/>
      </c>
      <c r="H95" s="5">
        <f ca="1">IF(AND(ISNUMBER(Clean_Data!J95),ISNUMBER(Clean_Data!H95)),Clean_Data!J95-Clean_Data!H95,IF(ISNUMBER(Clean_Data!H95),TODAY()-Clean_Data!H95,""))</f>
        <v>610</v>
      </c>
      <c r="I95" s="5" t="str">
        <f>IF(ISNUMBER(Clean_Data!I95),TEXT(Clean_Data!I95,"YYYY-MM"),"")</f>
        <v>2024-08</v>
      </c>
      <c r="J95" s="5" t="str">
        <f>IF(ISNUMBER(Clean_Data!H95),TEXT(Clean_Data!H95,"YYYY-MM"),"")</f>
        <v>2024-08</v>
      </c>
      <c r="K95" s="5" t="str">
        <f>IF(ISNUMBER(Clean_Data!J95),TEXT(Clean_Data!J95,"YYYY-MM"),"")</f>
        <v/>
      </c>
      <c r="L95" s="5">
        <f>IF(ISNUMBER(Clean_Data!H95),YEAR(Clean_Data!H95),"")</f>
        <v>2024</v>
      </c>
      <c r="M95" s="5">
        <f>IF(ISNUMBER(Clean_Data!H95),MONTH(Clean_Data!H95),"")</f>
        <v>8</v>
      </c>
      <c r="N95" s="5" t="str">
        <f>IF(ISNUMBER(Clean_Data!H95),TEXT(Clean_Data!H95,"MMMM"),"")</f>
        <v>August</v>
      </c>
      <c r="O95" s="20" t="b">
        <f t="shared" ca="1" si="2"/>
        <v>1</v>
      </c>
      <c r="P95" s="20" t="b">
        <f>AND(OR(Clean_Data!F95="High",Clean_Data!F95="Critical"),C95=TRUE())</f>
        <v>1</v>
      </c>
      <c r="Q95" s="20" t="b">
        <f ca="1">AND(OR(Clean_Data!F95="High",Clean_Data!F95="Critical"),D95=TRUE())</f>
        <v>1</v>
      </c>
      <c r="R95" s="20" t="b">
        <f ca="1">AND(Clean_Data!K95="In Progress",ISNUMBER(Clean_Data!H95),TODAY()-Clean_Data!H95&gt;30)</f>
        <v>0</v>
      </c>
      <c r="S95" s="5" t="str">
        <f>IF(B95=TRUE(),IF(AND(ISNUMBER(Clean_Data!N95),ISNUMBER(Clean_Data!M95),Clean_Data!M95&gt;0),IF(Clean_Data!N95&lt;=Clean_Data!M95*1.2,"Healthy","Over Budget"),"N/A"),IF(AND(Clean_Data!K95="In Progress",ISNUMBER(Clean_Data!L95)),IF(Clean_Data!L95&gt;=0.5,"On Track","Slow"),"N/A"))</f>
        <v>N/A</v>
      </c>
      <c r="T95" s="5" t="str">
        <f>IF(AND(B95=TRUE(),ISNUMBER(Clean_Data!J95),ISNUMBER(Clean_Data!I95)),Clean_Data!J95&lt;=Clean_Data!I95,"")</f>
        <v/>
      </c>
      <c r="U95" s="20" t="b">
        <f>IF(NOT(ISNUMBER(Clean_Data!L95)),FALSE(),AND(Clean_Data!L95&gt;=0,Clean_Data!L95&lt;=1))</f>
        <v>0</v>
      </c>
    </row>
    <row r="96" spans="1:21" x14ac:dyDescent="0.3">
      <c r="A96" s="2" t="str">
        <f>Clean_Data!A96</f>
        <v>TSK-0095</v>
      </c>
      <c r="B96" s="19" t="b">
        <f>Clean_Data!K96="Completed"</f>
        <v>0</v>
      </c>
      <c r="C96" s="19" t="b">
        <f>OR(Clean_Data!K96="Not Started",Clean_Data!K96="In Progress",Clean_Data!K96="On Hold")</f>
        <v>1</v>
      </c>
      <c r="D96" s="19" t="b">
        <f ca="1">AND(ISNUMBER(Clean_Data!I96),Clean_Data!I96&lt;TODAY(),Clean_Data!K96&lt;&gt;"Completed",Clean_Data!K96&lt;&gt;"Cancelled")</f>
        <v>1</v>
      </c>
      <c r="E96" s="2">
        <f ca="1">IF(AND(ISNUMBER(Clean_Data!H96),Clean_Data!K96&lt;&gt;"Completed",Clean_Data!K96&lt;&gt;"Cancelled"),TODAY()-Clean_Data!H96,"")</f>
        <v>676</v>
      </c>
      <c r="F96" s="2">
        <f ca="1">IF(AND(B96=TRUE(),ISNUMBER(Clean_Data!J96),ISNUMBER(Clean_Data!I96)),MAX(0,Clean_Data!J96-Clean_Data!I96),IF(AND(B96=FALSE(),ISNUMBER(Clean_Data!I96),Clean_Data!I96&lt;TODAY(),Clean_Data!K96&lt;&gt;"Cancelled"),MAX(0,TODAY()-Clean_Data!I96),""))</f>
        <v>658</v>
      </c>
      <c r="G96" s="2" t="str">
        <f>IF(AND(B96=TRUE(),ISNUMBER(Clean_Data!J96),ISNUMBER(Clean_Data!H96)),Clean_Data!J96-Clean_Data!H96,"")</f>
        <v/>
      </c>
      <c r="H96" s="2">
        <f ca="1">IF(AND(ISNUMBER(Clean_Data!J96),ISNUMBER(Clean_Data!H96)),Clean_Data!J96-Clean_Data!H96,IF(ISNUMBER(Clean_Data!H96),TODAY()-Clean_Data!H96,""))</f>
        <v>676</v>
      </c>
      <c r="I96" s="2" t="str">
        <f>IF(ISNUMBER(Clean_Data!I96),TEXT(Clean_Data!I96,"YYYY-MM"),"")</f>
        <v>2024-06</v>
      </c>
      <c r="J96" s="2" t="str">
        <f>IF(ISNUMBER(Clean_Data!H96),TEXT(Clean_Data!H96,"YYYY-MM"),"")</f>
        <v>2024-06</v>
      </c>
      <c r="K96" s="2" t="str">
        <f>IF(ISNUMBER(Clean_Data!J96),TEXT(Clean_Data!J96,"YYYY-MM"),"")</f>
        <v/>
      </c>
      <c r="L96" s="2">
        <f>IF(ISNUMBER(Clean_Data!H96),YEAR(Clean_Data!H96),"")</f>
        <v>2024</v>
      </c>
      <c r="M96" s="2">
        <f>IF(ISNUMBER(Clean_Data!H96),MONTH(Clean_Data!H96),"")</f>
        <v>6</v>
      </c>
      <c r="N96" s="2" t="str">
        <f>IF(ISNUMBER(Clean_Data!H96),TEXT(Clean_Data!H96,"MMMM"),"")</f>
        <v>June</v>
      </c>
      <c r="O96" s="19" t="b">
        <f t="shared" ca="1" si="2"/>
        <v>1</v>
      </c>
      <c r="P96" s="19" t="b">
        <f>AND(OR(Clean_Data!F96="High",Clean_Data!F96="Critical"),C96=TRUE())</f>
        <v>1</v>
      </c>
      <c r="Q96" s="19" t="b">
        <f ca="1">AND(OR(Clean_Data!F96="High",Clean_Data!F96="Critical"),D96=TRUE())</f>
        <v>1</v>
      </c>
      <c r="R96" s="19" t="b">
        <f ca="1">AND(Clean_Data!K96="In Progress",ISNUMBER(Clean_Data!H96),TODAY()-Clean_Data!H96&gt;30)</f>
        <v>1</v>
      </c>
      <c r="S96" s="2" t="str">
        <f>IF(B96=TRUE(),IF(AND(ISNUMBER(Clean_Data!N96),ISNUMBER(Clean_Data!M96),Clean_Data!M96&gt;0),IF(Clean_Data!N96&lt;=Clean_Data!M96*1.2,"Healthy","Over Budget"),"N/A"),IF(AND(Clean_Data!K96="In Progress",ISNUMBER(Clean_Data!L96)),IF(Clean_Data!L96&gt;=0.5,"On Track","Slow"),"N/A"))</f>
        <v>Slow</v>
      </c>
      <c r="T96" s="2" t="str">
        <f>IF(AND(B96=TRUE(),ISNUMBER(Clean_Data!J96),ISNUMBER(Clean_Data!I96)),Clean_Data!J96&lt;=Clean_Data!I96,"")</f>
        <v/>
      </c>
      <c r="U96" s="19" t="b">
        <f>IF(NOT(ISNUMBER(Clean_Data!L96)),FALSE(),AND(Clean_Data!L96&gt;=0,Clean_Data!L96&lt;=1))</f>
        <v>1</v>
      </c>
    </row>
    <row r="97" spans="1:21" x14ac:dyDescent="0.3">
      <c r="A97" s="5" t="str">
        <f>Clean_Data!A97</f>
        <v>TSK-0096</v>
      </c>
      <c r="B97" s="20" t="b">
        <f>Clean_Data!K97="Completed"</f>
        <v>0</v>
      </c>
      <c r="C97" s="20" t="b">
        <f>OR(Clean_Data!K97="Not Started",Clean_Data!K97="In Progress",Clean_Data!K97="On Hold")</f>
        <v>1</v>
      </c>
      <c r="D97" s="20" t="b">
        <f ca="1">AND(ISNUMBER(Clean_Data!I97),Clean_Data!I97&lt;TODAY(),Clean_Data!K97&lt;&gt;"Completed",Clean_Data!K97&lt;&gt;"Cancelled")</f>
        <v>1</v>
      </c>
      <c r="E97" s="5">
        <f ca="1">IF(AND(ISNUMBER(Clean_Data!H97),Clean_Data!K97&lt;&gt;"Completed",Clean_Data!K97&lt;&gt;"Cancelled"),TODAY()-Clean_Data!H97,"")</f>
        <v>451</v>
      </c>
      <c r="F97" s="5">
        <f ca="1">IF(AND(B97=TRUE(),ISNUMBER(Clean_Data!J97),ISNUMBER(Clean_Data!I97)),MAX(0,Clean_Data!J97-Clean_Data!I97),IF(AND(B97=FALSE(),ISNUMBER(Clean_Data!I97),Clean_Data!I97&lt;TODAY(),Clean_Data!K97&lt;&gt;"Cancelled"),MAX(0,TODAY()-Clean_Data!I97),""))</f>
        <v>444</v>
      </c>
      <c r="G97" s="5" t="str">
        <f>IF(AND(B97=TRUE(),ISNUMBER(Clean_Data!J97),ISNUMBER(Clean_Data!H97)),Clean_Data!J97-Clean_Data!H97,"")</f>
        <v/>
      </c>
      <c r="H97" s="5">
        <f ca="1">IF(AND(ISNUMBER(Clean_Data!J97),ISNUMBER(Clean_Data!H97)),Clean_Data!J97-Clean_Data!H97,IF(ISNUMBER(Clean_Data!H97),TODAY()-Clean_Data!H97,""))</f>
        <v>451</v>
      </c>
      <c r="I97" s="5" t="str">
        <f>IF(ISNUMBER(Clean_Data!I97),TEXT(Clean_Data!I97,"YYYY-MM"),"")</f>
        <v>2025-01</v>
      </c>
      <c r="J97" s="5" t="str">
        <f>IF(ISNUMBER(Clean_Data!H97),TEXT(Clean_Data!H97,"YYYY-MM"),"")</f>
        <v>2025-01</v>
      </c>
      <c r="K97" s="5" t="str">
        <f>IF(ISNUMBER(Clean_Data!J97),TEXT(Clean_Data!J97,"YYYY-MM"),"")</f>
        <v/>
      </c>
      <c r="L97" s="5">
        <f>IF(ISNUMBER(Clean_Data!H97),YEAR(Clean_Data!H97),"")</f>
        <v>2025</v>
      </c>
      <c r="M97" s="5">
        <f>IF(ISNUMBER(Clean_Data!H97),MONTH(Clean_Data!H97),"")</f>
        <v>1</v>
      </c>
      <c r="N97" s="5" t="str">
        <f>IF(ISNUMBER(Clean_Data!H97),TEXT(Clean_Data!H97,"MMMM"),"")</f>
        <v>January</v>
      </c>
      <c r="O97" s="20" t="b">
        <f t="shared" ca="1" si="2"/>
        <v>1</v>
      </c>
      <c r="P97" s="20" t="b">
        <f>AND(OR(Clean_Data!F97="High",Clean_Data!F97="Critical"),C97=TRUE())</f>
        <v>1</v>
      </c>
      <c r="Q97" s="20" t="b">
        <f ca="1">AND(OR(Clean_Data!F97="High",Clean_Data!F97="Critical"),D97=TRUE())</f>
        <v>1</v>
      </c>
      <c r="R97" s="20" t="b">
        <f ca="1">AND(Clean_Data!K97="In Progress",ISNUMBER(Clean_Data!H97),TODAY()-Clean_Data!H97&gt;30)</f>
        <v>0</v>
      </c>
      <c r="S97" s="5" t="str">
        <f>IF(B97=TRUE(),IF(AND(ISNUMBER(Clean_Data!N97),ISNUMBER(Clean_Data!M97),Clean_Data!M97&gt;0),IF(Clean_Data!N97&lt;=Clean_Data!M97*1.2,"Healthy","Over Budget"),"N/A"),IF(AND(Clean_Data!K97="In Progress",ISNUMBER(Clean_Data!L97)),IF(Clean_Data!L97&gt;=0.5,"On Track","Slow"),"N/A"))</f>
        <v>N/A</v>
      </c>
      <c r="T97" s="5" t="str">
        <f>IF(AND(B97=TRUE(),ISNUMBER(Clean_Data!J97),ISNUMBER(Clean_Data!I97)),Clean_Data!J97&lt;=Clean_Data!I97,"")</f>
        <v/>
      </c>
      <c r="U97" s="20" t="b">
        <f>IF(NOT(ISNUMBER(Clean_Data!L97)),FALSE(),AND(Clean_Data!L97&gt;=0,Clean_Data!L97&lt;=1))</f>
        <v>0</v>
      </c>
    </row>
    <row r="98" spans="1:21" x14ac:dyDescent="0.3">
      <c r="A98" s="2" t="str">
        <f>Clean_Data!A98</f>
        <v>TSK-0097</v>
      </c>
      <c r="B98" s="19" t="b">
        <f>Clean_Data!K98="Completed"</f>
        <v>0</v>
      </c>
      <c r="C98" s="19" t="b">
        <f>OR(Clean_Data!K98="Not Started",Clean_Data!K98="In Progress",Clean_Data!K98="On Hold")</f>
        <v>1</v>
      </c>
      <c r="D98" s="19" t="b">
        <f ca="1">AND(ISNUMBER(Clean_Data!I98),Clean_Data!I98&lt;TODAY(),Clean_Data!K98&lt;&gt;"Completed",Clean_Data!K98&lt;&gt;"Cancelled")</f>
        <v>1</v>
      </c>
      <c r="E98" s="2">
        <f ca="1">IF(AND(ISNUMBER(Clean_Data!H98),Clean_Data!K98&lt;&gt;"Completed",Clean_Data!K98&lt;&gt;"Cancelled"),TODAY()-Clean_Data!H98,"")</f>
        <v>623</v>
      </c>
      <c r="F98" s="2">
        <f ca="1">IF(AND(B98=TRUE(),ISNUMBER(Clean_Data!J98),ISNUMBER(Clean_Data!I98)),MAX(0,Clean_Data!J98-Clean_Data!I98),IF(AND(B98=FALSE(),ISNUMBER(Clean_Data!I98),Clean_Data!I98&lt;TODAY(),Clean_Data!K98&lt;&gt;"Cancelled"),MAX(0,TODAY()-Clean_Data!I98),""))</f>
        <v>617</v>
      </c>
      <c r="G98" s="2" t="str">
        <f>IF(AND(B98=TRUE(),ISNUMBER(Clean_Data!J98),ISNUMBER(Clean_Data!H98)),Clean_Data!J98-Clean_Data!H98,"")</f>
        <v/>
      </c>
      <c r="H98" s="2">
        <f ca="1">IF(AND(ISNUMBER(Clean_Data!J98),ISNUMBER(Clean_Data!H98)),Clean_Data!J98-Clean_Data!H98,IF(ISNUMBER(Clean_Data!H98),TODAY()-Clean_Data!H98,""))</f>
        <v>623</v>
      </c>
      <c r="I98" s="2" t="str">
        <f>IF(ISNUMBER(Clean_Data!I98),TEXT(Clean_Data!I98,"YYYY-MM"),"")</f>
        <v>2024-08</v>
      </c>
      <c r="J98" s="2" t="str">
        <f>IF(ISNUMBER(Clean_Data!H98),TEXT(Clean_Data!H98,"YYYY-MM"),"")</f>
        <v>2024-07</v>
      </c>
      <c r="K98" s="2" t="str">
        <f>IF(ISNUMBER(Clean_Data!J98),TEXT(Clean_Data!J98,"YYYY-MM"),"")</f>
        <v/>
      </c>
      <c r="L98" s="2">
        <f>IF(ISNUMBER(Clean_Data!H98),YEAR(Clean_Data!H98),"")</f>
        <v>2024</v>
      </c>
      <c r="M98" s="2">
        <f>IF(ISNUMBER(Clean_Data!H98),MONTH(Clean_Data!H98),"")</f>
        <v>7</v>
      </c>
      <c r="N98" s="2" t="str">
        <f>IF(ISNUMBER(Clean_Data!H98),TEXT(Clean_Data!H98,"MMMM"),"")</f>
        <v>July</v>
      </c>
      <c r="O98" s="19" t="b">
        <f t="shared" ref="O98:O121" ca="1" si="3">D98</f>
        <v>1</v>
      </c>
      <c r="P98" s="19" t="b">
        <f>AND(OR(Clean_Data!F98="High",Clean_Data!F98="Critical"),C98=TRUE())</f>
        <v>0</v>
      </c>
      <c r="Q98" s="19" t="b">
        <f ca="1">AND(OR(Clean_Data!F98="High",Clean_Data!F98="Critical"),D98=TRUE())</f>
        <v>0</v>
      </c>
      <c r="R98" s="19" t="b">
        <f ca="1">AND(Clean_Data!K98="In Progress",ISNUMBER(Clean_Data!H98),TODAY()-Clean_Data!H98&gt;30)</f>
        <v>0</v>
      </c>
      <c r="S98" s="2" t="str">
        <f>IF(B98=TRUE(),IF(AND(ISNUMBER(Clean_Data!N98),ISNUMBER(Clean_Data!M98),Clean_Data!M98&gt;0),IF(Clean_Data!N98&lt;=Clean_Data!M98*1.2,"Healthy","Over Budget"),"N/A"),IF(AND(Clean_Data!K98="In Progress",ISNUMBER(Clean_Data!L98)),IF(Clean_Data!L98&gt;=0.5,"On Track","Slow"),"N/A"))</f>
        <v>N/A</v>
      </c>
      <c r="T98" s="2" t="str">
        <f>IF(AND(B98=TRUE(),ISNUMBER(Clean_Data!J98),ISNUMBER(Clean_Data!I98)),Clean_Data!J98&lt;=Clean_Data!I98,"")</f>
        <v/>
      </c>
      <c r="U98" s="19" t="b">
        <f>IF(NOT(ISNUMBER(Clean_Data!L98)),FALSE(),AND(Clean_Data!L98&gt;=0,Clean_Data!L98&lt;=1))</f>
        <v>1</v>
      </c>
    </row>
    <row r="99" spans="1:21" x14ac:dyDescent="0.3">
      <c r="A99" s="5" t="str">
        <f>Clean_Data!A99</f>
        <v>TSK-0098</v>
      </c>
      <c r="B99" s="20" t="b">
        <f>Clean_Data!K99="Completed"</f>
        <v>0</v>
      </c>
      <c r="C99" s="20" t="b">
        <f>OR(Clean_Data!K99="Not Started",Clean_Data!K99="In Progress",Clean_Data!K99="On Hold")</f>
        <v>0</v>
      </c>
      <c r="D99" s="20" t="b">
        <f ca="1">AND(ISNUMBER(Clean_Data!I99),Clean_Data!I99&lt;TODAY(),Clean_Data!K99&lt;&gt;"Completed",Clean_Data!K99&lt;&gt;"Cancelled")</f>
        <v>0</v>
      </c>
      <c r="E99" s="5" t="str">
        <f ca="1">IF(AND(ISNUMBER(Clean_Data!H99),Clean_Data!K99&lt;&gt;"Completed",Clean_Data!K99&lt;&gt;"Cancelled"),TODAY()-Clean_Data!H99,"")</f>
        <v/>
      </c>
      <c r="F99" s="5" t="str">
        <f ca="1">IF(AND(B99=TRUE(),ISNUMBER(Clean_Data!J99),ISNUMBER(Clean_Data!I99)),MAX(0,Clean_Data!J99-Clean_Data!I99),IF(AND(B99=FALSE(),ISNUMBER(Clean_Data!I99),Clean_Data!I99&lt;TODAY(),Clean_Data!K99&lt;&gt;"Cancelled"),MAX(0,TODAY()-Clean_Data!I99),""))</f>
        <v/>
      </c>
      <c r="G99" s="5" t="str">
        <f>IF(AND(B99=TRUE(),ISNUMBER(Clean_Data!J99),ISNUMBER(Clean_Data!H99)),Clean_Data!J99-Clean_Data!H99,"")</f>
        <v/>
      </c>
      <c r="H99" s="5">
        <f ca="1">IF(AND(ISNUMBER(Clean_Data!J99),ISNUMBER(Clean_Data!H99)),Clean_Data!J99-Clean_Data!H99,IF(ISNUMBER(Clean_Data!H99),TODAY()-Clean_Data!H99,""))</f>
        <v>529</v>
      </c>
      <c r="I99" s="5" t="str">
        <f>IF(ISNUMBER(Clean_Data!I99),TEXT(Clean_Data!I99,"YYYY-MM"),"")</f>
        <v>2024-12</v>
      </c>
      <c r="J99" s="5" t="str">
        <f>IF(ISNUMBER(Clean_Data!H99),TEXT(Clean_Data!H99,"YYYY-MM"),"")</f>
        <v>2024-11</v>
      </c>
      <c r="K99" s="5" t="str">
        <f>IF(ISNUMBER(Clean_Data!J99),TEXT(Clean_Data!J99,"YYYY-MM"),"")</f>
        <v/>
      </c>
      <c r="L99" s="5">
        <f>IF(ISNUMBER(Clean_Data!H99),YEAR(Clean_Data!H99),"")</f>
        <v>2024</v>
      </c>
      <c r="M99" s="5">
        <f>IF(ISNUMBER(Clean_Data!H99),MONTH(Clean_Data!H99),"")</f>
        <v>11</v>
      </c>
      <c r="N99" s="5" t="str">
        <f>IF(ISNUMBER(Clean_Data!H99),TEXT(Clean_Data!H99,"MMMM"),"")</f>
        <v>November</v>
      </c>
      <c r="O99" s="20" t="b">
        <f t="shared" ca="1" si="3"/>
        <v>0</v>
      </c>
      <c r="P99" s="20" t="b">
        <f>AND(OR(Clean_Data!F99="High",Clean_Data!F99="Critical"),C99=TRUE())</f>
        <v>0</v>
      </c>
      <c r="Q99" s="20" t="b">
        <f ca="1">AND(OR(Clean_Data!F99="High",Clean_Data!F99="Critical"),D99=TRUE())</f>
        <v>0</v>
      </c>
      <c r="R99" s="20" t="b">
        <f ca="1">AND(Clean_Data!K99="In Progress",ISNUMBER(Clean_Data!H99),TODAY()-Clean_Data!H99&gt;30)</f>
        <v>0</v>
      </c>
      <c r="S99" s="5" t="str">
        <f>IF(B99=TRUE(),IF(AND(ISNUMBER(Clean_Data!N99),ISNUMBER(Clean_Data!M99),Clean_Data!M99&gt;0),IF(Clean_Data!N99&lt;=Clean_Data!M99*1.2,"Healthy","Over Budget"),"N/A"),IF(AND(Clean_Data!K99="In Progress",ISNUMBER(Clean_Data!L99)),IF(Clean_Data!L99&gt;=0.5,"On Track","Slow"),"N/A"))</f>
        <v>N/A</v>
      </c>
      <c r="T99" s="5" t="str">
        <f>IF(AND(B99=TRUE(),ISNUMBER(Clean_Data!J99),ISNUMBER(Clean_Data!I99)),Clean_Data!J99&lt;=Clean_Data!I99,"")</f>
        <v/>
      </c>
      <c r="U99" s="20" t="b">
        <f>IF(NOT(ISNUMBER(Clean_Data!L99)),FALSE(),AND(Clean_Data!L99&gt;=0,Clean_Data!L99&lt;=1))</f>
        <v>1</v>
      </c>
    </row>
    <row r="100" spans="1:21" x14ac:dyDescent="0.3">
      <c r="A100" s="2" t="str">
        <f>Clean_Data!A100</f>
        <v>TSK-0099</v>
      </c>
      <c r="B100" s="19" t="b">
        <f>Clean_Data!K100="Completed"</f>
        <v>0</v>
      </c>
      <c r="C100" s="19" t="b">
        <f>OR(Clean_Data!K100="Not Started",Clean_Data!K100="In Progress",Clean_Data!K100="On Hold")</f>
        <v>0</v>
      </c>
      <c r="D100" s="19" t="b">
        <f ca="1">AND(ISNUMBER(Clean_Data!I100),Clean_Data!I100&lt;TODAY(),Clean_Data!K100&lt;&gt;"Completed",Clean_Data!K100&lt;&gt;"Cancelled")</f>
        <v>0</v>
      </c>
      <c r="E100" s="2" t="str">
        <f ca="1">IF(AND(ISNUMBER(Clean_Data!H100),Clean_Data!K100&lt;&gt;"Completed",Clean_Data!K100&lt;&gt;"Cancelled"),TODAY()-Clean_Data!H100,"")</f>
        <v/>
      </c>
      <c r="F100" s="2" t="str">
        <f ca="1">IF(AND(B100=TRUE(),ISNUMBER(Clean_Data!J100),ISNUMBER(Clean_Data!I100)),MAX(0,Clean_Data!J100-Clean_Data!I100),IF(AND(B100=FALSE(),ISNUMBER(Clean_Data!I100),Clean_Data!I100&lt;TODAY(),Clean_Data!K100&lt;&gt;"Cancelled"),MAX(0,TODAY()-Clean_Data!I100),""))</f>
        <v/>
      </c>
      <c r="G100" s="2" t="str">
        <f>IF(AND(B100=TRUE(),ISNUMBER(Clean_Data!J100),ISNUMBER(Clean_Data!H100)),Clean_Data!J100-Clean_Data!H100,"")</f>
        <v/>
      </c>
      <c r="H100" s="2">
        <f ca="1">IF(AND(ISNUMBER(Clean_Data!J100),ISNUMBER(Clean_Data!H100)),Clean_Data!J100-Clean_Data!H100,IF(ISNUMBER(Clean_Data!H100),TODAY()-Clean_Data!H100,""))</f>
        <v>506</v>
      </c>
      <c r="I100" s="2" t="str">
        <f>IF(ISNUMBER(Clean_Data!I100),TEXT(Clean_Data!I100,"YYYY-MM"),"")</f>
        <v>2024-12</v>
      </c>
      <c r="J100" s="2" t="str">
        <f>IF(ISNUMBER(Clean_Data!H100),TEXT(Clean_Data!H100,"YYYY-MM"),"")</f>
        <v>2024-11</v>
      </c>
      <c r="K100" s="2" t="str">
        <f>IF(ISNUMBER(Clean_Data!J100),TEXT(Clean_Data!J100,"YYYY-MM"),"")</f>
        <v/>
      </c>
      <c r="L100" s="2">
        <f>IF(ISNUMBER(Clean_Data!H100),YEAR(Clean_Data!H100),"")</f>
        <v>2024</v>
      </c>
      <c r="M100" s="2">
        <f>IF(ISNUMBER(Clean_Data!H100),MONTH(Clean_Data!H100),"")</f>
        <v>11</v>
      </c>
      <c r="N100" s="2" t="str">
        <f>IF(ISNUMBER(Clean_Data!H100),TEXT(Clean_Data!H100,"MMMM"),"")</f>
        <v>November</v>
      </c>
      <c r="O100" s="19" t="b">
        <f t="shared" ca="1" si="3"/>
        <v>0</v>
      </c>
      <c r="P100" s="19" t="b">
        <f>AND(OR(Clean_Data!F100="High",Clean_Data!F100="Critical"),C100=TRUE())</f>
        <v>0</v>
      </c>
      <c r="Q100" s="19" t="b">
        <f ca="1">AND(OR(Clean_Data!F100="High",Clean_Data!F100="Critical"),D100=TRUE())</f>
        <v>0</v>
      </c>
      <c r="R100" s="19" t="b">
        <f ca="1">AND(Clean_Data!K100="In Progress",ISNUMBER(Clean_Data!H100),TODAY()-Clean_Data!H100&gt;30)</f>
        <v>0</v>
      </c>
      <c r="S100" s="2" t="str">
        <f>IF(B100=TRUE(),IF(AND(ISNUMBER(Clean_Data!N100),ISNUMBER(Clean_Data!M100),Clean_Data!M100&gt;0),IF(Clean_Data!N100&lt;=Clean_Data!M100*1.2,"Healthy","Over Budget"),"N/A"),IF(AND(Clean_Data!K100="In Progress",ISNUMBER(Clean_Data!L100)),IF(Clean_Data!L100&gt;=0.5,"On Track","Slow"),"N/A"))</f>
        <v>N/A</v>
      </c>
      <c r="T100" s="2" t="str">
        <f>IF(AND(B100=TRUE(),ISNUMBER(Clean_Data!J100),ISNUMBER(Clean_Data!I100)),Clean_Data!J100&lt;=Clean_Data!I100,"")</f>
        <v/>
      </c>
      <c r="U100" s="19" t="b">
        <f>IF(NOT(ISNUMBER(Clean_Data!L100)),FALSE(),AND(Clean_Data!L100&gt;=0,Clean_Data!L100&lt;=1))</f>
        <v>0</v>
      </c>
    </row>
    <row r="101" spans="1:21" x14ac:dyDescent="0.3">
      <c r="A101" s="5" t="str">
        <f>Clean_Data!A101</f>
        <v>TSK-0100</v>
      </c>
      <c r="B101" s="20" t="b">
        <f>Clean_Data!K101="Completed"</f>
        <v>1</v>
      </c>
      <c r="C101" s="20" t="b">
        <f>OR(Clean_Data!K101="Not Started",Clean_Data!K101="In Progress",Clean_Data!K101="On Hold")</f>
        <v>0</v>
      </c>
      <c r="D101" s="20" t="b">
        <f ca="1">AND(ISNUMBER(Clean_Data!I101),Clean_Data!I101&lt;TODAY(),Clean_Data!K101&lt;&gt;"Completed",Clean_Data!K101&lt;&gt;"Cancelled")</f>
        <v>0</v>
      </c>
      <c r="E101" s="5" t="str">
        <f ca="1">IF(AND(ISNUMBER(Clean_Data!H101),Clean_Data!K101&lt;&gt;"Completed",Clean_Data!K101&lt;&gt;"Cancelled"),TODAY()-Clean_Data!H101,"")</f>
        <v/>
      </c>
      <c r="F101" s="5">
        <f ca="1">IF(AND(B101=TRUE(),ISNUMBER(Clean_Data!J101),ISNUMBER(Clean_Data!I101)),MAX(0,Clean_Data!J101-Clean_Data!I101),IF(AND(B101=FALSE(),ISNUMBER(Clean_Data!I101),Clean_Data!I101&lt;TODAY(),Clean_Data!K101&lt;&gt;"Cancelled"),MAX(0,TODAY()-Clean_Data!I101),""))</f>
        <v>0</v>
      </c>
      <c r="G101" s="5">
        <f>IF(AND(B101=TRUE(),ISNUMBER(Clean_Data!J101),ISNUMBER(Clean_Data!H101)),Clean_Data!J101-Clean_Data!H101,"")</f>
        <v>9</v>
      </c>
      <c r="H101" s="5">
        <f ca="1">IF(AND(ISNUMBER(Clean_Data!J101),ISNUMBER(Clean_Data!H101)),Clean_Data!J101-Clean_Data!H101,IF(ISNUMBER(Clean_Data!H101),TODAY()-Clean_Data!H101,""))</f>
        <v>9</v>
      </c>
      <c r="I101" s="5" t="str">
        <f>IF(ISNUMBER(Clean_Data!I101),TEXT(Clean_Data!I101,"YYYY-MM"),"")</f>
        <v>2024-11</v>
      </c>
      <c r="J101" s="5" t="str">
        <f>IF(ISNUMBER(Clean_Data!H101),TEXT(Clean_Data!H101,"YYYY-MM"),"")</f>
        <v>2024-11</v>
      </c>
      <c r="K101" s="5" t="str">
        <f>IF(ISNUMBER(Clean_Data!J101),TEXT(Clean_Data!J101,"YYYY-MM"),"")</f>
        <v>2024-11</v>
      </c>
      <c r="L101" s="5">
        <f>IF(ISNUMBER(Clean_Data!H101),YEAR(Clean_Data!H101),"")</f>
        <v>2024</v>
      </c>
      <c r="M101" s="5">
        <f>IF(ISNUMBER(Clean_Data!H101),MONTH(Clean_Data!H101),"")</f>
        <v>11</v>
      </c>
      <c r="N101" s="5" t="str">
        <f>IF(ISNUMBER(Clean_Data!H101),TEXT(Clean_Data!H101,"MMMM"),"")</f>
        <v>November</v>
      </c>
      <c r="O101" s="20" t="b">
        <f t="shared" ca="1" si="3"/>
        <v>0</v>
      </c>
      <c r="P101" s="20" t="b">
        <f>AND(OR(Clean_Data!F101="High",Clean_Data!F101="Critical"),C101=TRUE())</f>
        <v>0</v>
      </c>
      <c r="Q101" s="20" t="b">
        <f ca="1">AND(OR(Clean_Data!F101="High",Clean_Data!F101="Critical"),D101=TRUE())</f>
        <v>0</v>
      </c>
      <c r="R101" s="20" t="b">
        <f ca="1">AND(Clean_Data!K101="In Progress",ISNUMBER(Clean_Data!H101),TODAY()-Clean_Data!H101&gt;30)</f>
        <v>0</v>
      </c>
      <c r="S101" s="5" t="str">
        <f>IF(B101=TRUE(),IF(AND(ISNUMBER(Clean_Data!N101),ISNUMBER(Clean_Data!M101),Clean_Data!M101&gt;0),IF(Clean_Data!N101&lt;=Clean_Data!M101*1.2,"Healthy","Over Budget"),"N/A"),IF(AND(Clean_Data!K101="In Progress",ISNUMBER(Clean_Data!L101)),IF(Clean_Data!L101&gt;=0.5,"On Track","Slow"),"N/A"))</f>
        <v>Healthy</v>
      </c>
      <c r="T101" s="20" t="b">
        <f>IF(AND(B101=TRUE(),ISNUMBER(Clean_Data!J101),ISNUMBER(Clean_Data!I101)),Clean_Data!J101&lt;=Clean_Data!I101,"")</f>
        <v>1</v>
      </c>
      <c r="U101" s="20" t="b">
        <f>IF(NOT(ISNUMBER(Clean_Data!L101)),FALSE(),AND(Clean_Data!L101&gt;=0,Clean_Data!L101&lt;=1))</f>
        <v>1</v>
      </c>
    </row>
    <row r="102" spans="1:21" x14ac:dyDescent="0.3">
      <c r="A102" s="2" t="str">
        <f>Clean_Data!A102</f>
        <v>TSK-0101</v>
      </c>
      <c r="B102" s="19" t="b">
        <f>Clean_Data!K102="Completed"</f>
        <v>0</v>
      </c>
      <c r="C102" s="19" t="b">
        <f>OR(Clean_Data!K102="Not Started",Clean_Data!K102="In Progress",Clean_Data!K102="On Hold")</f>
        <v>1</v>
      </c>
      <c r="D102" s="19" t="b">
        <f ca="1">AND(ISNUMBER(Clean_Data!I102),Clean_Data!I102&lt;TODAY(),Clean_Data!K102&lt;&gt;"Completed",Clean_Data!K102&lt;&gt;"Cancelled")</f>
        <v>1</v>
      </c>
      <c r="E102" s="2">
        <f ca="1">IF(AND(ISNUMBER(Clean_Data!H102),Clean_Data!K102&lt;&gt;"Completed",Clean_Data!K102&lt;&gt;"Cancelled"),TODAY()-Clean_Data!H102,"")</f>
        <v>796</v>
      </c>
      <c r="F102" s="2">
        <f ca="1">IF(AND(B102=TRUE(),ISNUMBER(Clean_Data!J102),ISNUMBER(Clean_Data!I102)),MAX(0,Clean_Data!J102-Clean_Data!I102),IF(AND(B102=FALSE(),ISNUMBER(Clean_Data!I102),Clean_Data!I102&lt;TODAY(),Clean_Data!K102&lt;&gt;"Cancelled"),MAX(0,TODAY()-Clean_Data!I102),""))</f>
        <v>761</v>
      </c>
      <c r="G102" s="2" t="str">
        <f>IF(AND(B102=TRUE(),ISNUMBER(Clean_Data!J102),ISNUMBER(Clean_Data!H102)),Clean_Data!J102-Clean_Data!H102,"")</f>
        <v/>
      </c>
      <c r="H102" s="2">
        <f ca="1">IF(AND(ISNUMBER(Clean_Data!J102),ISNUMBER(Clean_Data!H102)),Clean_Data!J102-Clean_Data!H102,IF(ISNUMBER(Clean_Data!H102),TODAY()-Clean_Data!H102,""))</f>
        <v>796</v>
      </c>
      <c r="I102" s="2" t="str">
        <f>IF(ISNUMBER(Clean_Data!I102),TEXT(Clean_Data!I102,"YYYY-MM"),"")</f>
        <v>2024-03</v>
      </c>
      <c r="J102" s="2" t="str">
        <f>IF(ISNUMBER(Clean_Data!H102),TEXT(Clean_Data!H102,"YYYY-MM"),"")</f>
        <v>2024-02</v>
      </c>
      <c r="K102" s="2" t="str">
        <f>IF(ISNUMBER(Clean_Data!J102),TEXT(Clean_Data!J102,"YYYY-MM"),"")</f>
        <v/>
      </c>
      <c r="L102" s="2">
        <f>IF(ISNUMBER(Clean_Data!H102),YEAR(Clean_Data!H102),"")</f>
        <v>2024</v>
      </c>
      <c r="M102" s="2">
        <f>IF(ISNUMBER(Clean_Data!H102),MONTH(Clean_Data!H102),"")</f>
        <v>2</v>
      </c>
      <c r="N102" s="2" t="str">
        <f>IF(ISNUMBER(Clean_Data!H102),TEXT(Clean_Data!H102,"MMMM"),"")</f>
        <v>February</v>
      </c>
      <c r="O102" s="19" t="b">
        <f t="shared" ca="1" si="3"/>
        <v>1</v>
      </c>
      <c r="P102" s="19" t="b">
        <f>AND(OR(Clean_Data!F102="High",Clean_Data!F102="Critical"),C102=TRUE())</f>
        <v>1</v>
      </c>
      <c r="Q102" s="19" t="b">
        <f ca="1">AND(OR(Clean_Data!F102="High",Clean_Data!F102="Critical"),D102=TRUE())</f>
        <v>1</v>
      </c>
      <c r="R102" s="19" t="b">
        <f ca="1">AND(Clean_Data!K102="In Progress",ISNUMBER(Clean_Data!H102),TODAY()-Clean_Data!H102&gt;30)</f>
        <v>0</v>
      </c>
      <c r="S102" s="2" t="str">
        <f>IF(B102=TRUE(),IF(AND(ISNUMBER(Clean_Data!N102),ISNUMBER(Clean_Data!M102),Clean_Data!M102&gt;0),IF(Clean_Data!N102&lt;=Clean_Data!M102*1.2,"Healthy","Over Budget"),"N/A"),IF(AND(Clean_Data!K102="In Progress",ISNUMBER(Clean_Data!L102)),IF(Clean_Data!L102&gt;=0.5,"On Track","Slow"),"N/A"))</f>
        <v>N/A</v>
      </c>
      <c r="T102" s="2" t="str">
        <f>IF(AND(B102=TRUE(),ISNUMBER(Clean_Data!J102),ISNUMBER(Clean_Data!I102)),Clean_Data!J102&lt;=Clean_Data!I102,"")</f>
        <v/>
      </c>
      <c r="U102" s="19" t="b">
        <f>IF(NOT(ISNUMBER(Clean_Data!L102)),FALSE(),AND(Clean_Data!L102&gt;=0,Clean_Data!L102&lt;=1))</f>
        <v>0</v>
      </c>
    </row>
    <row r="103" spans="1:21" x14ac:dyDescent="0.3">
      <c r="A103" s="5" t="str">
        <f>Clean_Data!A103</f>
        <v>TSK-0102</v>
      </c>
      <c r="B103" s="20" t="b">
        <f>Clean_Data!K103="Completed"</f>
        <v>1</v>
      </c>
      <c r="C103" s="20" t="b">
        <f>OR(Clean_Data!K103="Not Started",Clean_Data!K103="In Progress",Clean_Data!K103="On Hold")</f>
        <v>0</v>
      </c>
      <c r="D103" s="20" t="b">
        <f ca="1">AND(ISNUMBER(Clean_Data!I103),Clean_Data!I103&lt;TODAY(),Clean_Data!K103&lt;&gt;"Completed",Clean_Data!K103&lt;&gt;"Cancelled")</f>
        <v>0</v>
      </c>
      <c r="E103" s="5" t="str">
        <f ca="1">IF(AND(ISNUMBER(Clean_Data!H103),Clean_Data!K103&lt;&gt;"Completed",Clean_Data!K103&lt;&gt;"Cancelled"),TODAY()-Clean_Data!H103,"")</f>
        <v/>
      </c>
      <c r="F103" s="5">
        <f ca="1">IF(AND(B103=TRUE(),ISNUMBER(Clean_Data!J103),ISNUMBER(Clean_Data!I103)),MAX(0,Clean_Data!J103-Clean_Data!I103),IF(AND(B103=FALSE(),ISNUMBER(Clean_Data!I103),Clean_Data!I103&lt;TODAY(),Clean_Data!K103&lt;&gt;"Cancelled"),MAX(0,TODAY()-Clean_Data!I103),""))</f>
        <v>9</v>
      </c>
      <c r="G103" s="5">
        <f>IF(AND(B103=TRUE(),ISNUMBER(Clean_Data!J103),ISNUMBER(Clean_Data!H103)),Clean_Data!J103-Clean_Data!H103,"")</f>
        <v>18</v>
      </c>
      <c r="H103" s="5">
        <f ca="1">IF(AND(ISNUMBER(Clean_Data!J103),ISNUMBER(Clean_Data!H103)),Clean_Data!J103-Clean_Data!H103,IF(ISNUMBER(Clean_Data!H103),TODAY()-Clean_Data!H103,""))</f>
        <v>18</v>
      </c>
      <c r="I103" s="5" t="str">
        <f>IF(ISNUMBER(Clean_Data!I103),TEXT(Clean_Data!I103,"YYYY-MM"),"")</f>
        <v>2024-06</v>
      </c>
      <c r="J103" s="5" t="str">
        <f>IF(ISNUMBER(Clean_Data!H103),TEXT(Clean_Data!H103,"YYYY-MM"),"")</f>
        <v>2024-05</v>
      </c>
      <c r="K103" s="5" t="str">
        <f>IF(ISNUMBER(Clean_Data!J103),TEXT(Clean_Data!J103,"YYYY-MM"),"")</f>
        <v>2024-06</v>
      </c>
      <c r="L103" s="5">
        <f>IF(ISNUMBER(Clean_Data!H103),YEAR(Clean_Data!H103),"")</f>
        <v>2024</v>
      </c>
      <c r="M103" s="5">
        <f>IF(ISNUMBER(Clean_Data!H103),MONTH(Clean_Data!H103),"")</f>
        <v>5</v>
      </c>
      <c r="N103" s="5" t="str">
        <f>IF(ISNUMBER(Clean_Data!H103),TEXT(Clean_Data!H103,"MMMM"),"")</f>
        <v>May</v>
      </c>
      <c r="O103" s="20" t="b">
        <f t="shared" ca="1" si="3"/>
        <v>0</v>
      </c>
      <c r="P103" s="20" t="b">
        <f>AND(OR(Clean_Data!F103="High",Clean_Data!F103="Critical"),C103=TRUE())</f>
        <v>0</v>
      </c>
      <c r="Q103" s="20" t="b">
        <f ca="1">AND(OR(Clean_Data!F103="High",Clean_Data!F103="Critical"),D103=TRUE())</f>
        <v>0</v>
      </c>
      <c r="R103" s="20" t="b">
        <f ca="1">AND(Clean_Data!K103="In Progress",ISNUMBER(Clean_Data!H103),TODAY()-Clean_Data!H103&gt;30)</f>
        <v>0</v>
      </c>
      <c r="S103" s="5" t="str">
        <f>IF(B103=TRUE(),IF(AND(ISNUMBER(Clean_Data!N103),ISNUMBER(Clean_Data!M103),Clean_Data!M103&gt;0),IF(Clean_Data!N103&lt;=Clean_Data!M103*1.2,"Healthy","Over Budget"),"N/A"),IF(AND(Clean_Data!K103="In Progress",ISNUMBER(Clean_Data!L103)),IF(Clean_Data!L103&gt;=0.5,"On Track","Slow"),"N/A"))</f>
        <v>Healthy</v>
      </c>
      <c r="T103" s="20" t="b">
        <f>IF(AND(B103=TRUE(),ISNUMBER(Clean_Data!J103),ISNUMBER(Clean_Data!I103)),Clean_Data!J103&lt;=Clean_Data!I103,"")</f>
        <v>0</v>
      </c>
      <c r="U103" s="20" t="b">
        <f>IF(NOT(ISNUMBER(Clean_Data!L103)),FALSE(),AND(Clean_Data!L103&gt;=0,Clean_Data!L103&lt;=1))</f>
        <v>1</v>
      </c>
    </row>
    <row r="104" spans="1:21" x14ac:dyDescent="0.3">
      <c r="A104" s="2" t="str">
        <f>Clean_Data!A104</f>
        <v>TSK-0103</v>
      </c>
      <c r="B104" s="19" t="b">
        <f>Clean_Data!K104="Completed"</f>
        <v>1</v>
      </c>
      <c r="C104" s="19" t="b">
        <f>OR(Clean_Data!K104="Not Started",Clean_Data!K104="In Progress",Clean_Data!K104="On Hold")</f>
        <v>0</v>
      </c>
      <c r="D104" s="19" t="b">
        <f ca="1">AND(ISNUMBER(Clean_Data!I104),Clean_Data!I104&lt;TODAY(),Clean_Data!K104&lt;&gt;"Completed",Clean_Data!K104&lt;&gt;"Cancelled")</f>
        <v>0</v>
      </c>
      <c r="E104" s="2" t="str">
        <f ca="1">IF(AND(ISNUMBER(Clean_Data!H104),Clean_Data!K104&lt;&gt;"Completed",Clean_Data!K104&lt;&gt;"Cancelled"),TODAY()-Clean_Data!H104,"")</f>
        <v/>
      </c>
      <c r="F104" s="2">
        <f ca="1">IF(AND(B104=TRUE(),ISNUMBER(Clean_Data!J104),ISNUMBER(Clean_Data!I104)),MAX(0,Clean_Data!J104-Clean_Data!I104),IF(AND(B104=FALSE(),ISNUMBER(Clean_Data!I104),Clean_Data!I104&lt;TODAY(),Clean_Data!K104&lt;&gt;"Cancelled"),MAX(0,TODAY()-Clean_Data!I104),""))</f>
        <v>15</v>
      </c>
      <c r="G104" s="2">
        <f>IF(AND(B104=TRUE(),ISNUMBER(Clean_Data!J104),ISNUMBER(Clean_Data!H104)),Clean_Data!J104-Clean_Data!H104,"")</f>
        <v>48</v>
      </c>
      <c r="H104" s="2">
        <f ca="1">IF(AND(ISNUMBER(Clean_Data!J104),ISNUMBER(Clean_Data!H104)),Clean_Data!J104-Clean_Data!H104,IF(ISNUMBER(Clean_Data!H104),TODAY()-Clean_Data!H104,""))</f>
        <v>48</v>
      </c>
      <c r="I104" s="2" t="str">
        <f>IF(ISNUMBER(Clean_Data!I104),TEXT(Clean_Data!I104,"YYYY-MM"),"")</f>
        <v>2024-03</v>
      </c>
      <c r="J104" s="2" t="str">
        <f>IF(ISNUMBER(Clean_Data!H104),TEXT(Clean_Data!H104,"YYYY-MM"),"")</f>
        <v>2024-02</v>
      </c>
      <c r="K104" s="2" t="str">
        <f>IF(ISNUMBER(Clean_Data!J104),TEXT(Clean_Data!J104,"YYYY-MM"),"")</f>
        <v>2024-03</v>
      </c>
      <c r="L104" s="2">
        <f>IF(ISNUMBER(Clean_Data!H104),YEAR(Clean_Data!H104),"")</f>
        <v>2024</v>
      </c>
      <c r="M104" s="2">
        <f>IF(ISNUMBER(Clean_Data!H104),MONTH(Clean_Data!H104),"")</f>
        <v>2</v>
      </c>
      <c r="N104" s="2" t="str">
        <f>IF(ISNUMBER(Clean_Data!H104),TEXT(Clean_Data!H104,"MMMM"),"")</f>
        <v>February</v>
      </c>
      <c r="O104" s="19" t="b">
        <f t="shared" ca="1" si="3"/>
        <v>0</v>
      </c>
      <c r="P104" s="19" t="b">
        <f>AND(OR(Clean_Data!F104="High",Clean_Data!F104="Critical"),C104=TRUE())</f>
        <v>0</v>
      </c>
      <c r="Q104" s="19" t="b">
        <f ca="1">AND(OR(Clean_Data!F104="High",Clean_Data!F104="Critical"),D104=TRUE())</f>
        <v>0</v>
      </c>
      <c r="R104" s="19" t="b">
        <f ca="1">AND(Clean_Data!K104="In Progress",ISNUMBER(Clean_Data!H104),TODAY()-Clean_Data!H104&gt;30)</f>
        <v>0</v>
      </c>
      <c r="S104" s="2" t="str">
        <f>IF(B104=TRUE(),IF(AND(ISNUMBER(Clean_Data!N104),ISNUMBER(Clean_Data!M104),Clean_Data!M104&gt;0),IF(Clean_Data!N104&lt;=Clean_Data!M104*1.2,"Healthy","Over Budget"),"N/A"),IF(AND(Clean_Data!K104="In Progress",ISNUMBER(Clean_Data!L104)),IF(Clean_Data!L104&gt;=0.5,"On Track","Slow"),"N/A"))</f>
        <v>Healthy</v>
      </c>
      <c r="T104" s="19" t="b">
        <f>IF(AND(B104=TRUE(),ISNUMBER(Clean_Data!J104),ISNUMBER(Clean_Data!I104)),Clean_Data!J104&lt;=Clean_Data!I104,"")</f>
        <v>0</v>
      </c>
      <c r="U104" s="19" t="b">
        <f>IF(NOT(ISNUMBER(Clean_Data!L104)),FALSE(),AND(Clean_Data!L104&gt;=0,Clean_Data!L104&lt;=1))</f>
        <v>1</v>
      </c>
    </row>
    <row r="105" spans="1:21" x14ac:dyDescent="0.3">
      <c r="A105" s="5" t="str">
        <f>Clean_Data!A105</f>
        <v>TSK-0104</v>
      </c>
      <c r="B105" s="20" t="b">
        <f>Clean_Data!K105="Completed"</f>
        <v>0</v>
      </c>
      <c r="C105" s="20" t="b">
        <f>OR(Clean_Data!K105="Not Started",Clean_Data!K105="In Progress",Clean_Data!K105="On Hold")</f>
        <v>1</v>
      </c>
      <c r="D105" s="20" t="b">
        <f ca="1">AND(ISNUMBER(Clean_Data!I105),Clean_Data!I105&lt;TODAY(),Clean_Data!K105&lt;&gt;"Completed",Clean_Data!K105&lt;&gt;"Cancelled")</f>
        <v>1</v>
      </c>
      <c r="E105" s="5">
        <f ca="1">IF(AND(ISNUMBER(Clean_Data!H105),Clean_Data!K105&lt;&gt;"Completed",Clean_Data!K105&lt;&gt;"Cancelled"),TODAY()-Clean_Data!H105,"")</f>
        <v>644</v>
      </c>
      <c r="F105" s="5">
        <f ca="1">IF(AND(B105=TRUE(),ISNUMBER(Clean_Data!J105),ISNUMBER(Clean_Data!I105)),MAX(0,Clean_Data!J105-Clean_Data!I105),IF(AND(B105=FALSE(),ISNUMBER(Clean_Data!I105),Clean_Data!I105&lt;TODAY(),Clean_Data!K105&lt;&gt;"Cancelled"),MAX(0,TODAY()-Clean_Data!I105),""))</f>
        <v>616</v>
      </c>
      <c r="G105" s="5" t="str">
        <f>IF(AND(B105=TRUE(),ISNUMBER(Clean_Data!J105),ISNUMBER(Clean_Data!H105)),Clean_Data!J105-Clean_Data!H105,"")</f>
        <v/>
      </c>
      <c r="H105" s="5">
        <f ca="1">IF(AND(ISNUMBER(Clean_Data!J105),ISNUMBER(Clean_Data!H105)),Clean_Data!J105-Clean_Data!H105,IF(ISNUMBER(Clean_Data!H105),TODAY()-Clean_Data!H105,""))</f>
        <v>644</v>
      </c>
      <c r="I105" s="5" t="str">
        <f>IF(ISNUMBER(Clean_Data!I105),TEXT(Clean_Data!I105,"YYYY-MM"),"")</f>
        <v>2024-08</v>
      </c>
      <c r="J105" s="5" t="str">
        <f>IF(ISNUMBER(Clean_Data!H105),TEXT(Clean_Data!H105,"YYYY-MM"),"")</f>
        <v>2024-07</v>
      </c>
      <c r="K105" s="5" t="str">
        <f>IF(ISNUMBER(Clean_Data!J105),TEXT(Clean_Data!J105,"YYYY-MM"),"")</f>
        <v/>
      </c>
      <c r="L105" s="5">
        <f>IF(ISNUMBER(Clean_Data!H105),YEAR(Clean_Data!H105),"")</f>
        <v>2024</v>
      </c>
      <c r="M105" s="5">
        <f>IF(ISNUMBER(Clean_Data!H105),MONTH(Clean_Data!H105),"")</f>
        <v>7</v>
      </c>
      <c r="N105" s="5" t="str">
        <f>IF(ISNUMBER(Clean_Data!H105),TEXT(Clean_Data!H105,"MMMM"),"")</f>
        <v>July</v>
      </c>
      <c r="O105" s="20" t="b">
        <f t="shared" ca="1" si="3"/>
        <v>1</v>
      </c>
      <c r="P105" s="20" t="b">
        <f>AND(OR(Clean_Data!F105="High",Clean_Data!F105="Critical"),C105=TRUE())</f>
        <v>0</v>
      </c>
      <c r="Q105" s="20" t="b">
        <f ca="1">AND(OR(Clean_Data!F105="High",Clean_Data!F105="Critical"),D105=TRUE())</f>
        <v>0</v>
      </c>
      <c r="R105" s="20" t="b">
        <f ca="1">AND(Clean_Data!K105="In Progress",ISNUMBER(Clean_Data!H105),TODAY()-Clean_Data!H105&gt;30)</f>
        <v>0</v>
      </c>
      <c r="S105" s="5" t="str">
        <f>IF(B105=TRUE(),IF(AND(ISNUMBER(Clean_Data!N105),ISNUMBER(Clean_Data!M105),Clean_Data!M105&gt;0),IF(Clean_Data!N105&lt;=Clean_Data!M105*1.2,"Healthy","Over Budget"),"N/A"),IF(AND(Clean_Data!K105="In Progress",ISNUMBER(Clean_Data!L105)),IF(Clean_Data!L105&gt;=0.5,"On Track","Slow"),"N/A"))</f>
        <v>N/A</v>
      </c>
      <c r="T105" s="5" t="str">
        <f>IF(AND(B105=TRUE(),ISNUMBER(Clean_Data!J105),ISNUMBER(Clean_Data!I105)),Clean_Data!J105&lt;=Clean_Data!I105,"")</f>
        <v/>
      </c>
      <c r="U105" s="20" t="b">
        <f>IF(NOT(ISNUMBER(Clean_Data!L105)),FALSE(),AND(Clean_Data!L105&gt;=0,Clean_Data!L105&lt;=1))</f>
        <v>0</v>
      </c>
    </row>
    <row r="106" spans="1:21" x14ac:dyDescent="0.3">
      <c r="A106" s="2" t="str">
        <f>Clean_Data!A106</f>
        <v>TSK-0105</v>
      </c>
      <c r="B106" s="19" t="b">
        <f>Clean_Data!K106="Completed"</f>
        <v>0</v>
      </c>
      <c r="C106" s="19" t="b">
        <f>OR(Clean_Data!K106="Not Started",Clean_Data!K106="In Progress",Clean_Data!K106="On Hold")</f>
        <v>1</v>
      </c>
      <c r="D106" s="19" t="b">
        <f ca="1">AND(ISNUMBER(Clean_Data!I106),Clean_Data!I106&lt;TODAY(),Clean_Data!K106&lt;&gt;"Completed",Clean_Data!K106&lt;&gt;"Cancelled")</f>
        <v>1</v>
      </c>
      <c r="E106" s="2">
        <f ca="1">IF(AND(ISNUMBER(Clean_Data!H106),Clean_Data!K106&lt;&gt;"Completed",Clean_Data!K106&lt;&gt;"Cancelled"),TODAY()-Clean_Data!H106,"")</f>
        <v>685</v>
      </c>
      <c r="F106" s="2">
        <f ca="1">IF(AND(B106=TRUE(),ISNUMBER(Clean_Data!J106),ISNUMBER(Clean_Data!I106)),MAX(0,Clean_Data!J106-Clean_Data!I106),IF(AND(B106=FALSE(),ISNUMBER(Clean_Data!I106),Clean_Data!I106&lt;TODAY(),Clean_Data!K106&lt;&gt;"Cancelled"),MAX(0,TODAY()-Clean_Data!I106),""))</f>
        <v>664</v>
      </c>
      <c r="G106" s="2" t="str">
        <f>IF(AND(B106=TRUE(),ISNUMBER(Clean_Data!J106),ISNUMBER(Clean_Data!H106)),Clean_Data!J106-Clean_Data!H106,"")</f>
        <v/>
      </c>
      <c r="H106" s="2">
        <f ca="1">IF(AND(ISNUMBER(Clean_Data!J106),ISNUMBER(Clean_Data!H106)),Clean_Data!J106-Clean_Data!H106,IF(ISNUMBER(Clean_Data!H106),TODAY()-Clean_Data!H106,""))</f>
        <v>685</v>
      </c>
      <c r="I106" s="2" t="str">
        <f>IF(ISNUMBER(Clean_Data!I106),TEXT(Clean_Data!I106,"YYYY-MM"),"")</f>
        <v>2024-06</v>
      </c>
      <c r="J106" s="2" t="str">
        <f>IF(ISNUMBER(Clean_Data!H106),TEXT(Clean_Data!H106,"YYYY-MM"),"")</f>
        <v>2024-05</v>
      </c>
      <c r="K106" s="2" t="str">
        <f>IF(ISNUMBER(Clean_Data!J106),TEXT(Clean_Data!J106,"YYYY-MM"),"")</f>
        <v/>
      </c>
      <c r="L106" s="2">
        <f>IF(ISNUMBER(Clean_Data!H106),YEAR(Clean_Data!H106),"")</f>
        <v>2024</v>
      </c>
      <c r="M106" s="2">
        <f>IF(ISNUMBER(Clean_Data!H106),MONTH(Clean_Data!H106),"")</f>
        <v>5</v>
      </c>
      <c r="N106" s="2" t="str">
        <f>IF(ISNUMBER(Clean_Data!H106),TEXT(Clean_Data!H106,"MMMM"),"")</f>
        <v>May</v>
      </c>
      <c r="O106" s="19" t="b">
        <f t="shared" ca="1" si="3"/>
        <v>1</v>
      </c>
      <c r="P106" s="19" t="b">
        <f>AND(OR(Clean_Data!F106="High",Clean_Data!F106="Critical"),C106=TRUE())</f>
        <v>1</v>
      </c>
      <c r="Q106" s="19" t="b">
        <f ca="1">AND(OR(Clean_Data!F106="High",Clean_Data!F106="Critical"),D106=TRUE())</f>
        <v>1</v>
      </c>
      <c r="R106" s="19" t="b">
        <f ca="1">AND(Clean_Data!K106="In Progress",ISNUMBER(Clean_Data!H106),TODAY()-Clean_Data!H106&gt;30)</f>
        <v>1</v>
      </c>
      <c r="S106" s="2" t="str">
        <f>IF(B106=TRUE(),IF(AND(ISNUMBER(Clean_Data!N106),ISNUMBER(Clean_Data!M106),Clean_Data!M106&gt;0),IF(Clean_Data!N106&lt;=Clean_Data!M106*1.2,"Healthy","Over Budget"),"N/A"),IF(AND(Clean_Data!K106="In Progress",ISNUMBER(Clean_Data!L106)),IF(Clean_Data!L106&gt;=0.5,"On Track","Slow"),"N/A"))</f>
        <v>Slow</v>
      </c>
      <c r="T106" s="2" t="str">
        <f>IF(AND(B106=TRUE(),ISNUMBER(Clean_Data!J106),ISNUMBER(Clean_Data!I106)),Clean_Data!J106&lt;=Clean_Data!I106,"")</f>
        <v/>
      </c>
      <c r="U106" s="19" t="b">
        <f>IF(NOT(ISNUMBER(Clean_Data!L106)),FALSE(),AND(Clean_Data!L106&gt;=0,Clean_Data!L106&lt;=1))</f>
        <v>1</v>
      </c>
    </row>
    <row r="107" spans="1:21" x14ac:dyDescent="0.3">
      <c r="A107" s="5" t="str">
        <f>Clean_Data!A107</f>
        <v>TSK-0106</v>
      </c>
      <c r="B107" s="20" t="b">
        <f>Clean_Data!K107="Completed"</f>
        <v>0</v>
      </c>
      <c r="C107" s="20" t="b">
        <f>OR(Clean_Data!K107="Not Started",Clean_Data!K107="In Progress",Clean_Data!K107="On Hold")</f>
        <v>0</v>
      </c>
      <c r="D107" s="20" t="b">
        <f ca="1">AND(ISNUMBER(Clean_Data!I107),Clean_Data!I107&lt;TODAY(),Clean_Data!K107&lt;&gt;"Completed",Clean_Data!K107&lt;&gt;"Cancelled")</f>
        <v>0</v>
      </c>
      <c r="E107" s="5" t="str">
        <f ca="1">IF(AND(ISNUMBER(Clean_Data!H107),Clean_Data!K107&lt;&gt;"Completed",Clean_Data!K107&lt;&gt;"Cancelled"),TODAY()-Clean_Data!H107,"")</f>
        <v/>
      </c>
      <c r="F107" s="5" t="str">
        <f ca="1">IF(AND(B107=TRUE(),ISNUMBER(Clean_Data!J107),ISNUMBER(Clean_Data!I107)),MAX(0,Clean_Data!J107-Clean_Data!I107),IF(AND(B107=FALSE(),ISNUMBER(Clean_Data!I107),Clean_Data!I107&lt;TODAY(),Clean_Data!K107&lt;&gt;"Cancelled"),MAX(0,TODAY()-Clean_Data!I107),""))</f>
        <v/>
      </c>
      <c r="G107" s="5" t="str">
        <f>IF(AND(B107=TRUE(),ISNUMBER(Clean_Data!J107),ISNUMBER(Clean_Data!H107)),Clean_Data!J107-Clean_Data!H107,"")</f>
        <v/>
      </c>
      <c r="H107" s="5">
        <f ca="1">IF(AND(ISNUMBER(Clean_Data!J107),ISNUMBER(Clean_Data!H107)),Clean_Data!J107-Clean_Data!H107,IF(ISNUMBER(Clean_Data!H107),TODAY()-Clean_Data!H107,""))</f>
        <v>765</v>
      </c>
      <c r="I107" s="5" t="str">
        <f>IF(ISNUMBER(Clean_Data!I107),TEXT(Clean_Data!I107,"YYYY-MM"),"")</f>
        <v>2024-04</v>
      </c>
      <c r="J107" s="5" t="str">
        <f>IF(ISNUMBER(Clean_Data!H107),TEXT(Clean_Data!H107,"YYYY-MM"),"")</f>
        <v>2024-03</v>
      </c>
      <c r="K107" s="5" t="str">
        <f>IF(ISNUMBER(Clean_Data!J107),TEXT(Clean_Data!J107,"YYYY-MM"),"")</f>
        <v/>
      </c>
      <c r="L107" s="5">
        <f>IF(ISNUMBER(Clean_Data!H107),YEAR(Clean_Data!H107),"")</f>
        <v>2024</v>
      </c>
      <c r="M107" s="5">
        <f>IF(ISNUMBER(Clean_Data!H107),MONTH(Clean_Data!H107),"")</f>
        <v>3</v>
      </c>
      <c r="N107" s="5" t="str">
        <f>IF(ISNUMBER(Clean_Data!H107),TEXT(Clean_Data!H107,"MMMM"),"")</f>
        <v>March</v>
      </c>
      <c r="O107" s="20" t="b">
        <f t="shared" ca="1" si="3"/>
        <v>0</v>
      </c>
      <c r="P107" s="20" t="b">
        <f>AND(OR(Clean_Data!F107="High",Clean_Data!F107="Critical"),C107=TRUE())</f>
        <v>0</v>
      </c>
      <c r="Q107" s="20" t="b">
        <f ca="1">AND(OR(Clean_Data!F107="High",Clean_Data!F107="Critical"),D107=TRUE())</f>
        <v>0</v>
      </c>
      <c r="R107" s="20" t="b">
        <f ca="1">AND(Clean_Data!K107="In Progress",ISNUMBER(Clean_Data!H107),TODAY()-Clean_Data!H107&gt;30)</f>
        <v>0</v>
      </c>
      <c r="S107" s="5" t="str">
        <f>IF(B107=TRUE(),IF(AND(ISNUMBER(Clean_Data!N107),ISNUMBER(Clean_Data!M107),Clean_Data!M107&gt;0),IF(Clean_Data!N107&lt;=Clean_Data!M107*1.2,"Healthy","Over Budget"),"N/A"),IF(AND(Clean_Data!K107="In Progress",ISNUMBER(Clean_Data!L107)),IF(Clean_Data!L107&gt;=0.5,"On Track","Slow"),"N/A"))</f>
        <v>N/A</v>
      </c>
      <c r="T107" s="5" t="str">
        <f>IF(AND(B107=TRUE(),ISNUMBER(Clean_Data!J107),ISNUMBER(Clean_Data!I107)),Clean_Data!J107&lt;=Clean_Data!I107,"")</f>
        <v/>
      </c>
      <c r="U107" s="20" t="b">
        <f>IF(NOT(ISNUMBER(Clean_Data!L107)),FALSE(),AND(Clean_Data!L107&gt;=0,Clean_Data!L107&lt;=1))</f>
        <v>1</v>
      </c>
    </row>
    <row r="108" spans="1:21" x14ac:dyDescent="0.3">
      <c r="A108" s="2" t="str">
        <f>Clean_Data!A108</f>
        <v>TSK-0107</v>
      </c>
      <c r="B108" s="19" t="b">
        <f>Clean_Data!K108="Completed"</f>
        <v>0</v>
      </c>
      <c r="C108" s="19" t="b">
        <f>OR(Clean_Data!K108="Not Started",Clean_Data!K108="In Progress",Clean_Data!K108="On Hold")</f>
        <v>1</v>
      </c>
      <c r="D108" s="19" t="b">
        <f ca="1">AND(ISNUMBER(Clean_Data!I108),Clean_Data!I108&lt;TODAY(),Clean_Data!K108&lt;&gt;"Completed",Clean_Data!K108&lt;&gt;"Cancelled")</f>
        <v>1</v>
      </c>
      <c r="E108" s="2">
        <f ca="1">IF(AND(ISNUMBER(Clean_Data!H108),Clean_Data!K108&lt;&gt;"Completed",Clean_Data!K108&lt;&gt;"Cancelled"),TODAY()-Clean_Data!H108,"")</f>
        <v>438</v>
      </c>
      <c r="F108" s="2">
        <f ca="1">IF(AND(B108=TRUE(),ISNUMBER(Clean_Data!J108),ISNUMBER(Clean_Data!I108)),MAX(0,Clean_Data!J108-Clean_Data!I108),IF(AND(B108=FALSE(),ISNUMBER(Clean_Data!I108),Clean_Data!I108&lt;TODAY(),Clean_Data!K108&lt;&gt;"Cancelled"),MAX(0,TODAY()-Clean_Data!I108),""))</f>
        <v>402</v>
      </c>
      <c r="G108" s="2" t="str">
        <f>IF(AND(B108=TRUE(),ISNUMBER(Clean_Data!J108),ISNUMBER(Clean_Data!H108)),Clean_Data!J108-Clean_Data!H108,"")</f>
        <v/>
      </c>
      <c r="H108" s="2">
        <f ca="1">IF(AND(ISNUMBER(Clean_Data!J108),ISNUMBER(Clean_Data!H108)),Clean_Data!J108-Clean_Data!H108,IF(ISNUMBER(Clean_Data!H108),TODAY()-Clean_Data!H108,""))</f>
        <v>438</v>
      </c>
      <c r="I108" s="2" t="str">
        <f>IF(ISNUMBER(Clean_Data!I108),TEXT(Clean_Data!I108,"YYYY-MM"),"")</f>
        <v>2025-03</v>
      </c>
      <c r="J108" s="2" t="str">
        <f>IF(ISNUMBER(Clean_Data!H108),TEXT(Clean_Data!H108,"YYYY-MM"),"")</f>
        <v>2025-01</v>
      </c>
      <c r="K108" s="2" t="str">
        <f>IF(ISNUMBER(Clean_Data!J108),TEXT(Clean_Data!J108,"YYYY-MM"),"")</f>
        <v/>
      </c>
      <c r="L108" s="2">
        <f>IF(ISNUMBER(Clean_Data!H108),YEAR(Clean_Data!H108),"")</f>
        <v>2025</v>
      </c>
      <c r="M108" s="2">
        <f>IF(ISNUMBER(Clean_Data!H108),MONTH(Clean_Data!H108),"")</f>
        <v>1</v>
      </c>
      <c r="N108" s="2" t="str">
        <f>IF(ISNUMBER(Clean_Data!H108),TEXT(Clean_Data!H108,"MMMM"),"")</f>
        <v>January</v>
      </c>
      <c r="O108" s="19" t="b">
        <f t="shared" ca="1" si="3"/>
        <v>1</v>
      </c>
      <c r="P108" s="19" t="b">
        <f>AND(OR(Clean_Data!F108="High",Clean_Data!F108="Critical"),C108=TRUE())</f>
        <v>1</v>
      </c>
      <c r="Q108" s="19" t="b">
        <f ca="1">AND(OR(Clean_Data!F108="High",Clean_Data!F108="Critical"),D108=TRUE())</f>
        <v>1</v>
      </c>
      <c r="R108" s="19" t="b">
        <f ca="1">AND(Clean_Data!K108="In Progress",ISNUMBER(Clean_Data!H108),TODAY()-Clean_Data!H108&gt;30)</f>
        <v>1</v>
      </c>
      <c r="S108" s="2" t="str">
        <f>IF(B108=TRUE(),IF(AND(ISNUMBER(Clean_Data!N108),ISNUMBER(Clean_Data!M108),Clean_Data!M108&gt;0),IF(Clean_Data!N108&lt;=Clean_Data!M108*1.2,"Healthy","Over Budget"),"N/A"),IF(AND(Clean_Data!K108="In Progress",ISNUMBER(Clean_Data!L108)),IF(Clean_Data!L108&gt;=0.5,"On Track","Slow"),"N/A"))</f>
        <v>Slow</v>
      </c>
      <c r="T108" s="2" t="str">
        <f>IF(AND(B108=TRUE(),ISNUMBER(Clean_Data!J108),ISNUMBER(Clean_Data!I108)),Clean_Data!J108&lt;=Clean_Data!I108,"")</f>
        <v/>
      </c>
      <c r="U108" s="19" t="b">
        <f>IF(NOT(ISNUMBER(Clean_Data!L108)),FALSE(),AND(Clean_Data!L108&gt;=0,Clean_Data!L108&lt;=1))</f>
        <v>1</v>
      </c>
    </row>
    <row r="109" spans="1:21" x14ac:dyDescent="0.3">
      <c r="A109" s="5" t="str">
        <f>Clean_Data!A109</f>
        <v>TSK-0108</v>
      </c>
      <c r="B109" s="20" t="b">
        <f>Clean_Data!K109="Completed"</f>
        <v>0</v>
      </c>
      <c r="C109" s="20" t="b">
        <f>OR(Clean_Data!K109="Not Started",Clean_Data!K109="In Progress",Clean_Data!K109="On Hold")</f>
        <v>1</v>
      </c>
      <c r="D109" s="20" t="b">
        <f ca="1">AND(ISNUMBER(Clean_Data!I109),Clean_Data!I109&lt;TODAY(),Clean_Data!K109&lt;&gt;"Completed",Clean_Data!K109&lt;&gt;"Cancelled")</f>
        <v>1</v>
      </c>
      <c r="E109" s="5">
        <f ca="1">IF(AND(ISNUMBER(Clean_Data!H109),Clean_Data!K109&lt;&gt;"Completed",Clean_Data!K109&lt;&gt;"Cancelled"),TODAY()-Clean_Data!H109,"")</f>
        <v>752</v>
      </c>
      <c r="F109" s="5">
        <f ca="1">IF(AND(B109=TRUE(),ISNUMBER(Clean_Data!J109),ISNUMBER(Clean_Data!I109)),MAX(0,Clean_Data!J109-Clean_Data!I109),IF(AND(B109=FALSE(),ISNUMBER(Clean_Data!I109),Clean_Data!I109&lt;TODAY(),Clean_Data!K109&lt;&gt;"Cancelled"),MAX(0,TODAY()-Clean_Data!I109),""))</f>
        <v>737</v>
      </c>
      <c r="G109" s="5" t="str">
        <f>IF(AND(B109=TRUE(),ISNUMBER(Clean_Data!J109),ISNUMBER(Clean_Data!H109)),Clean_Data!J109-Clean_Data!H109,"")</f>
        <v/>
      </c>
      <c r="H109" s="5">
        <f ca="1">IF(AND(ISNUMBER(Clean_Data!J109),ISNUMBER(Clean_Data!H109)),Clean_Data!J109-Clean_Data!H109,IF(ISNUMBER(Clean_Data!H109),TODAY()-Clean_Data!H109,""))</f>
        <v>752</v>
      </c>
      <c r="I109" s="5" t="str">
        <f>IF(ISNUMBER(Clean_Data!I109),TEXT(Clean_Data!I109,"YYYY-MM"),"")</f>
        <v>2024-04</v>
      </c>
      <c r="J109" s="5" t="str">
        <f>IF(ISNUMBER(Clean_Data!H109),TEXT(Clean_Data!H109,"YYYY-MM"),"")</f>
        <v>2024-03</v>
      </c>
      <c r="K109" s="5" t="str">
        <f>IF(ISNUMBER(Clean_Data!J109),TEXT(Clean_Data!J109,"YYYY-MM"),"")</f>
        <v/>
      </c>
      <c r="L109" s="5">
        <f>IF(ISNUMBER(Clean_Data!H109),YEAR(Clean_Data!H109),"")</f>
        <v>2024</v>
      </c>
      <c r="M109" s="5">
        <f>IF(ISNUMBER(Clean_Data!H109),MONTH(Clean_Data!H109),"")</f>
        <v>3</v>
      </c>
      <c r="N109" s="5" t="str">
        <f>IF(ISNUMBER(Clean_Data!H109),TEXT(Clean_Data!H109,"MMMM"),"")</f>
        <v>March</v>
      </c>
      <c r="O109" s="20" t="b">
        <f t="shared" ca="1" si="3"/>
        <v>1</v>
      </c>
      <c r="P109" s="20" t="b">
        <f>AND(OR(Clean_Data!F109="High",Clean_Data!F109="Critical"),C109=TRUE())</f>
        <v>0</v>
      </c>
      <c r="Q109" s="20" t="b">
        <f ca="1">AND(OR(Clean_Data!F109="High",Clean_Data!F109="Critical"),D109=TRUE())</f>
        <v>0</v>
      </c>
      <c r="R109" s="20" t="b">
        <f ca="1">AND(Clean_Data!K109="In Progress",ISNUMBER(Clean_Data!H109),TODAY()-Clean_Data!H109&gt;30)</f>
        <v>1</v>
      </c>
      <c r="S109" s="5" t="str">
        <f>IF(B109=TRUE(),IF(AND(ISNUMBER(Clean_Data!N109),ISNUMBER(Clean_Data!M109),Clean_Data!M109&gt;0),IF(Clean_Data!N109&lt;=Clean_Data!M109*1.2,"Healthy","Over Budget"),"N/A"),IF(AND(Clean_Data!K109="In Progress",ISNUMBER(Clean_Data!L109)),IF(Clean_Data!L109&gt;=0.5,"On Track","Slow"),"N/A"))</f>
        <v>N/A</v>
      </c>
      <c r="T109" s="5" t="str">
        <f>IF(AND(B109=TRUE(),ISNUMBER(Clean_Data!J109),ISNUMBER(Clean_Data!I109)),Clean_Data!J109&lt;=Clean_Data!I109,"")</f>
        <v/>
      </c>
      <c r="U109" s="20" t="b">
        <f>IF(NOT(ISNUMBER(Clean_Data!L109)),FALSE(),AND(Clean_Data!L109&gt;=0,Clean_Data!L109&lt;=1))</f>
        <v>0</v>
      </c>
    </row>
    <row r="110" spans="1:21" x14ac:dyDescent="0.3">
      <c r="A110" s="2" t="str">
        <f>Clean_Data!A110</f>
        <v>TSK-0109</v>
      </c>
      <c r="B110" s="19" t="b">
        <f>Clean_Data!K110="Completed"</f>
        <v>0</v>
      </c>
      <c r="C110" s="19" t="b">
        <f>OR(Clean_Data!K110="Not Started",Clean_Data!K110="In Progress",Clean_Data!K110="On Hold")</f>
        <v>1</v>
      </c>
      <c r="D110" s="19" t="b">
        <f ca="1">AND(ISNUMBER(Clean_Data!I110),Clean_Data!I110&lt;TODAY(),Clean_Data!K110&lt;&gt;"Completed",Clean_Data!K110&lt;&gt;"Cancelled")</f>
        <v>1</v>
      </c>
      <c r="E110" s="2">
        <f ca="1">IF(AND(ISNUMBER(Clean_Data!H110),Clean_Data!K110&lt;&gt;"Completed",Clean_Data!K110&lt;&gt;"Cancelled"),TODAY()-Clean_Data!H110,"")</f>
        <v>731</v>
      </c>
      <c r="F110" s="2">
        <f ca="1">IF(AND(B110=TRUE(),ISNUMBER(Clean_Data!J110),ISNUMBER(Clean_Data!I110)),MAX(0,Clean_Data!J110-Clean_Data!I110),IF(AND(B110=FALSE(),ISNUMBER(Clean_Data!I110),Clean_Data!I110&lt;TODAY(),Clean_Data!K110&lt;&gt;"Cancelled"),MAX(0,TODAY()-Clean_Data!I110),""))</f>
        <v>703</v>
      </c>
      <c r="G110" s="2" t="str">
        <f>IF(AND(B110=TRUE(),ISNUMBER(Clean_Data!J110),ISNUMBER(Clean_Data!H110)),Clean_Data!J110-Clean_Data!H110,"")</f>
        <v/>
      </c>
      <c r="H110" s="2">
        <f ca="1">IF(AND(ISNUMBER(Clean_Data!J110),ISNUMBER(Clean_Data!H110)),Clean_Data!J110-Clean_Data!H110,IF(ISNUMBER(Clean_Data!H110),TODAY()-Clean_Data!H110,""))</f>
        <v>731</v>
      </c>
      <c r="I110" s="2" t="str">
        <f>IF(ISNUMBER(Clean_Data!I110),TEXT(Clean_Data!I110,"YYYY-MM"),"")</f>
        <v>2024-05</v>
      </c>
      <c r="J110" s="2" t="str">
        <f>IF(ISNUMBER(Clean_Data!H110),TEXT(Clean_Data!H110,"YYYY-MM"),"")</f>
        <v>2024-04</v>
      </c>
      <c r="K110" s="2" t="str">
        <f>IF(ISNUMBER(Clean_Data!J110),TEXT(Clean_Data!J110,"YYYY-MM"),"")</f>
        <v/>
      </c>
      <c r="L110" s="2">
        <f>IF(ISNUMBER(Clean_Data!H110),YEAR(Clean_Data!H110),"")</f>
        <v>2024</v>
      </c>
      <c r="M110" s="2">
        <f>IF(ISNUMBER(Clean_Data!H110),MONTH(Clean_Data!H110),"")</f>
        <v>4</v>
      </c>
      <c r="N110" s="2" t="str">
        <f>IF(ISNUMBER(Clean_Data!H110),TEXT(Clean_Data!H110,"MMMM"),"")</f>
        <v>April</v>
      </c>
      <c r="O110" s="19" t="b">
        <f t="shared" ca="1" si="3"/>
        <v>1</v>
      </c>
      <c r="P110" s="19" t="b">
        <f>AND(OR(Clean_Data!F110="High",Clean_Data!F110="Critical"),C110=TRUE())</f>
        <v>0</v>
      </c>
      <c r="Q110" s="19" t="b">
        <f ca="1">AND(OR(Clean_Data!F110="High",Clean_Data!F110="Critical"),D110=TRUE())</f>
        <v>0</v>
      </c>
      <c r="R110" s="19" t="b">
        <f ca="1">AND(Clean_Data!K110="In Progress",ISNUMBER(Clean_Data!H110),TODAY()-Clean_Data!H110&gt;30)</f>
        <v>0</v>
      </c>
      <c r="S110" s="2" t="str">
        <f>IF(B110=TRUE(),IF(AND(ISNUMBER(Clean_Data!N110),ISNUMBER(Clean_Data!M110),Clean_Data!M110&gt;0),IF(Clean_Data!N110&lt;=Clean_Data!M110*1.2,"Healthy","Over Budget"),"N/A"),IF(AND(Clean_Data!K110="In Progress",ISNUMBER(Clean_Data!L110)),IF(Clean_Data!L110&gt;=0.5,"On Track","Slow"),"N/A"))</f>
        <v>N/A</v>
      </c>
      <c r="T110" s="2" t="str">
        <f>IF(AND(B110=TRUE(),ISNUMBER(Clean_Data!J110),ISNUMBER(Clean_Data!I110)),Clean_Data!J110&lt;=Clean_Data!I110,"")</f>
        <v/>
      </c>
      <c r="U110" s="19" t="b">
        <f>IF(NOT(ISNUMBER(Clean_Data!L110)),FALSE(),AND(Clean_Data!L110&gt;=0,Clean_Data!L110&lt;=1))</f>
        <v>0</v>
      </c>
    </row>
    <row r="111" spans="1:21" x14ac:dyDescent="0.3">
      <c r="A111" s="5" t="str">
        <f>Clean_Data!A111</f>
        <v>TSK-0110</v>
      </c>
      <c r="B111" s="20" t="b">
        <f>Clean_Data!K111="Completed"</f>
        <v>0</v>
      </c>
      <c r="C111" s="20" t="b">
        <f>OR(Clean_Data!K111="Not Started",Clean_Data!K111="In Progress",Clean_Data!K111="On Hold")</f>
        <v>0</v>
      </c>
      <c r="D111" s="20" t="b">
        <f ca="1">AND(ISNUMBER(Clean_Data!I111),Clean_Data!I111&lt;TODAY(),Clean_Data!K111&lt;&gt;"Completed",Clean_Data!K111&lt;&gt;"Cancelled")</f>
        <v>0</v>
      </c>
      <c r="E111" s="5" t="str">
        <f ca="1">IF(AND(ISNUMBER(Clean_Data!H111),Clean_Data!K111&lt;&gt;"Completed",Clean_Data!K111&lt;&gt;"Cancelled"),TODAY()-Clean_Data!H111,"")</f>
        <v/>
      </c>
      <c r="F111" s="5" t="str">
        <f ca="1">IF(AND(B111=TRUE(),ISNUMBER(Clean_Data!J111),ISNUMBER(Clean_Data!I111)),MAX(0,Clean_Data!J111-Clean_Data!I111),IF(AND(B111=FALSE(),ISNUMBER(Clean_Data!I111),Clean_Data!I111&lt;TODAY(),Clean_Data!K111&lt;&gt;"Cancelled"),MAX(0,TODAY()-Clean_Data!I111),""))</f>
        <v/>
      </c>
      <c r="G111" s="5" t="str">
        <f>IF(AND(B111=TRUE(),ISNUMBER(Clean_Data!J111),ISNUMBER(Clean_Data!H111)),Clean_Data!J111-Clean_Data!H111,"")</f>
        <v/>
      </c>
      <c r="H111" s="5">
        <f ca="1">IF(AND(ISNUMBER(Clean_Data!J111),ISNUMBER(Clean_Data!H111)),Clean_Data!J111-Clean_Data!H111,IF(ISNUMBER(Clean_Data!H111),TODAY()-Clean_Data!H111,""))</f>
        <v>804</v>
      </c>
      <c r="I111" s="5" t="str">
        <f>IF(ISNUMBER(Clean_Data!I111),TEXT(Clean_Data!I111,"YYYY-MM"),"")</f>
        <v>2024-03</v>
      </c>
      <c r="J111" s="5" t="str">
        <f>IF(ISNUMBER(Clean_Data!H111),TEXT(Clean_Data!H111,"YYYY-MM"),"")</f>
        <v>2024-01</v>
      </c>
      <c r="K111" s="5" t="str">
        <f>IF(ISNUMBER(Clean_Data!J111),TEXT(Clean_Data!J111,"YYYY-MM"),"")</f>
        <v/>
      </c>
      <c r="L111" s="5">
        <f>IF(ISNUMBER(Clean_Data!H111),YEAR(Clean_Data!H111),"")</f>
        <v>2024</v>
      </c>
      <c r="M111" s="5">
        <f>IF(ISNUMBER(Clean_Data!H111),MONTH(Clean_Data!H111),"")</f>
        <v>1</v>
      </c>
      <c r="N111" s="5" t="str">
        <f>IF(ISNUMBER(Clean_Data!H111),TEXT(Clean_Data!H111,"MMMM"),"")</f>
        <v>January</v>
      </c>
      <c r="O111" s="20" t="b">
        <f t="shared" ca="1" si="3"/>
        <v>0</v>
      </c>
      <c r="P111" s="20" t="b">
        <f>AND(OR(Clean_Data!F111="High",Clean_Data!F111="Critical"),C111=TRUE())</f>
        <v>0</v>
      </c>
      <c r="Q111" s="20" t="b">
        <f ca="1">AND(OR(Clean_Data!F111="High",Clean_Data!F111="Critical"),D111=TRUE())</f>
        <v>0</v>
      </c>
      <c r="R111" s="20" t="b">
        <f ca="1">AND(Clean_Data!K111="In Progress",ISNUMBER(Clean_Data!H111),TODAY()-Clean_Data!H111&gt;30)</f>
        <v>0</v>
      </c>
      <c r="S111" s="5" t="str">
        <f>IF(B111=TRUE(),IF(AND(ISNUMBER(Clean_Data!N111),ISNUMBER(Clean_Data!M111),Clean_Data!M111&gt;0),IF(Clean_Data!N111&lt;=Clean_Data!M111*1.2,"Healthy","Over Budget"),"N/A"),IF(AND(Clean_Data!K111="In Progress",ISNUMBER(Clean_Data!L111)),IF(Clean_Data!L111&gt;=0.5,"On Track","Slow"),"N/A"))</f>
        <v>N/A</v>
      </c>
      <c r="T111" s="5" t="str">
        <f>IF(AND(B111=TRUE(),ISNUMBER(Clean_Data!J111),ISNUMBER(Clean_Data!I111)),Clean_Data!J111&lt;=Clean_Data!I111,"")</f>
        <v/>
      </c>
      <c r="U111" s="20" t="b">
        <f>IF(NOT(ISNUMBER(Clean_Data!L111)),FALSE(),AND(Clean_Data!L111&gt;=0,Clean_Data!L111&lt;=1))</f>
        <v>0</v>
      </c>
    </row>
    <row r="112" spans="1:21" x14ac:dyDescent="0.3">
      <c r="A112" s="2" t="str">
        <f>Clean_Data!A112</f>
        <v>TSK-0111</v>
      </c>
      <c r="B112" s="19" t="b">
        <f>Clean_Data!K112="Completed"</f>
        <v>0</v>
      </c>
      <c r="C112" s="19" t="b">
        <f>OR(Clean_Data!K112="Not Started",Clean_Data!K112="In Progress",Clean_Data!K112="On Hold")</f>
        <v>1</v>
      </c>
      <c r="D112" s="19" t="b">
        <f ca="1">AND(ISNUMBER(Clean_Data!I112),Clean_Data!I112&lt;TODAY(),Clean_Data!K112&lt;&gt;"Completed",Clean_Data!K112&lt;&gt;"Cancelled")</f>
        <v>1</v>
      </c>
      <c r="E112" s="2">
        <f ca="1">IF(AND(ISNUMBER(Clean_Data!H112),Clean_Data!K112&lt;&gt;"Completed",Clean_Data!K112&lt;&gt;"Cancelled"),TODAY()-Clean_Data!H112,"")</f>
        <v>568</v>
      </c>
      <c r="F112" s="2">
        <f ca="1">IF(AND(B112=TRUE(),ISNUMBER(Clean_Data!J112),ISNUMBER(Clean_Data!I112)),MAX(0,Clean_Data!J112-Clean_Data!I112),IF(AND(B112=FALSE(),ISNUMBER(Clean_Data!I112),Clean_Data!I112&lt;TODAY(),Clean_Data!K112&lt;&gt;"Cancelled"),MAX(0,TODAY()-Clean_Data!I112),""))</f>
        <v>554</v>
      </c>
      <c r="G112" s="2" t="str">
        <f>IF(AND(B112=TRUE(),ISNUMBER(Clean_Data!J112),ISNUMBER(Clean_Data!H112)),Clean_Data!J112-Clean_Data!H112,"")</f>
        <v/>
      </c>
      <c r="H112" s="2">
        <f ca="1">IF(AND(ISNUMBER(Clean_Data!J112),ISNUMBER(Clean_Data!H112)),Clean_Data!J112-Clean_Data!H112,IF(ISNUMBER(Clean_Data!H112),TODAY()-Clean_Data!H112,""))</f>
        <v>568</v>
      </c>
      <c r="I112" s="2" t="str">
        <f>IF(ISNUMBER(Clean_Data!I112),TEXT(Clean_Data!I112,"YYYY-MM"),"")</f>
        <v>2024-10</v>
      </c>
      <c r="J112" s="2" t="str">
        <f>IF(ISNUMBER(Clean_Data!H112),TEXT(Clean_Data!H112,"YYYY-MM"),"")</f>
        <v>2024-09</v>
      </c>
      <c r="K112" s="2" t="str">
        <f>IF(ISNUMBER(Clean_Data!J112),TEXT(Clean_Data!J112,"YYYY-MM"),"")</f>
        <v/>
      </c>
      <c r="L112" s="2">
        <f>IF(ISNUMBER(Clean_Data!H112),YEAR(Clean_Data!H112),"")</f>
        <v>2024</v>
      </c>
      <c r="M112" s="2">
        <f>IF(ISNUMBER(Clean_Data!H112),MONTH(Clean_Data!H112),"")</f>
        <v>9</v>
      </c>
      <c r="N112" s="2" t="str">
        <f>IF(ISNUMBER(Clean_Data!H112),TEXT(Clean_Data!H112,"MMMM"),"")</f>
        <v>September</v>
      </c>
      <c r="O112" s="19" t="b">
        <f t="shared" ca="1" si="3"/>
        <v>1</v>
      </c>
      <c r="P112" s="19" t="b">
        <f>AND(OR(Clean_Data!F112="High",Clean_Data!F112="Critical"),C112=TRUE())</f>
        <v>0</v>
      </c>
      <c r="Q112" s="19" t="b">
        <f ca="1">AND(OR(Clean_Data!F112="High",Clean_Data!F112="Critical"),D112=TRUE())</f>
        <v>0</v>
      </c>
      <c r="R112" s="19" t="b">
        <f ca="1">AND(Clean_Data!K112="In Progress",ISNUMBER(Clean_Data!H112),TODAY()-Clean_Data!H112&gt;30)</f>
        <v>0</v>
      </c>
      <c r="S112" s="2" t="str">
        <f>IF(B112=TRUE(),IF(AND(ISNUMBER(Clean_Data!N112),ISNUMBER(Clean_Data!M112),Clean_Data!M112&gt;0),IF(Clean_Data!N112&lt;=Clean_Data!M112*1.2,"Healthy","Over Budget"),"N/A"),IF(AND(Clean_Data!K112="In Progress",ISNUMBER(Clean_Data!L112)),IF(Clean_Data!L112&gt;=0.5,"On Track","Slow"),"N/A"))</f>
        <v>N/A</v>
      </c>
      <c r="T112" s="2" t="str">
        <f>IF(AND(B112=TRUE(),ISNUMBER(Clean_Data!J112),ISNUMBER(Clean_Data!I112)),Clean_Data!J112&lt;=Clean_Data!I112,"")</f>
        <v/>
      </c>
      <c r="U112" s="19" t="b">
        <f>IF(NOT(ISNUMBER(Clean_Data!L112)),FALSE(),AND(Clean_Data!L112&gt;=0,Clean_Data!L112&lt;=1))</f>
        <v>1</v>
      </c>
    </row>
    <row r="113" spans="1:21" x14ac:dyDescent="0.3">
      <c r="A113" s="5" t="str">
        <f>Clean_Data!A113</f>
        <v>TSK-0112</v>
      </c>
      <c r="B113" s="20" t="b">
        <f>Clean_Data!K113="Completed"</f>
        <v>0</v>
      </c>
      <c r="C113" s="20" t="b">
        <f>OR(Clean_Data!K113="Not Started",Clean_Data!K113="In Progress",Clean_Data!K113="On Hold")</f>
        <v>1</v>
      </c>
      <c r="D113" s="20" t="b">
        <f ca="1">AND(ISNUMBER(Clean_Data!I113),Clean_Data!I113&lt;TODAY(),Clean_Data!K113&lt;&gt;"Completed",Clean_Data!K113&lt;&gt;"Cancelled")</f>
        <v>1</v>
      </c>
      <c r="E113" s="5">
        <f ca="1">IF(AND(ISNUMBER(Clean_Data!H113),Clean_Data!K113&lt;&gt;"Completed",Clean_Data!K113&lt;&gt;"Cancelled"),TODAY()-Clean_Data!H113,"")</f>
        <v>789</v>
      </c>
      <c r="F113" s="5">
        <f ca="1">IF(AND(B113=TRUE(),ISNUMBER(Clean_Data!J113),ISNUMBER(Clean_Data!I113)),MAX(0,Clean_Data!J113-Clean_Data!I113),IF(AND(B113=FALSE(),ISNUMBER(Clean_Data!I113),Clean_Data!I113&lt;TODAY(),Clean_Data!K113&lt;&gt;"Cancelled"),MAX(0,TODAY()-Clean_Data!I113),""))</f>
        <v>761</v>
      </c>
      <c r="G113" s="5" t="str">
        <f>IF(AND(B113=TRUE(),ISNUMBER(Clean_Data!J113),ISNUMBER(Clean_Data!H113)),Clean_Data!J113-Clean_Data!H113,"")</f>
        <v/>
      </c>
      <c r="H113" s="5">
        <f ca="1">IF(AND(ISNUMBER(Clean_Data!J113),ISNUMBER(Clean_Data!H113)),Clean_Data!J113-Clean_Data!H113,IF(ISNUMBER(Clean_Data!H113),TODAY()-Clean_Data!H113,""))</f>
        <v>789</v>
      </c>
      <c r="I113" s="5" t="str">
        <f>IF(ISNUMBER(Clean_Data!I113),TEXT(Clean_Data!I113,"YYYY-MM"),"")</f>
        <v>2024-03</v>
      </c>
      <c r="J113" s="5" t="str">
        <f>IF(ISNUMBER(Clean_Data!H113),TEXT(Clean_Data!H113,"YYYY-MM"),"")</f>
        <v>2024-02</v>
      </c>
      <c r="K113" s="5" t="str">
        <f>IF(ISNUMBER(Clean_Data!J113),TEXT(Clean_Data!J113,"YYYY-MM"),"")</f>
        <v/>
      </c>
      <c r="L113" s="5">
        <f>IF(ISNUMBER(Clean_Data!H113),YEAR(Clean_Data!H113),"")</f>
        <v>2024</v>
      </c>
      <c r="M113" s="5">
        <f>IF(ISNUMBER(Clean_Data!H113),MONTH(Clean_Data!H113),"")</f>
        <v>2</v>
      </c>
      <c r="N113" s="5" t="str">
        <f>IF(ISNUMBER(Clean_Data!H113),TEXT(Clean_Data!H113,"MMMM"),"")</f>
        <v>February</v>
      </c>
      <c r="O113" s="20" t="b">
        <f t="shared" ca="1" si="3"/>
        <v>1</v>
      </c>
      <c r="P113" s="20" t="b">
        <f>AND(OR(Clean_Data!F113="High",Clean_Data!F113="Critical"),C113=TRUE())</f>
        <v>1</v>
      </c>
      <c r="Q113" s="20" t="b">
        <f ca="1">AND(OR(Clean_Data!F113="High",Clean_Data!F113="Critical"),D113=TRUE())</f>
        <v>1</v>
      </c>
      <c r="R113" s="20" t="b">
        <f ca="1">AND(Clean_Data!K113="In Progress",ISNUMBER(Clean_Data!H113),TODAY()-Clean_Data!H113&gt;30)</f>
        <v>1</v>
      </c>
      <c r="S113" s="5" t="str">
        <f>IF(B113=TRUE(),IF(AND(ISNUMBER(Clean_Data!N113),ISNUMBER(Clean_Data!M113),Clean_Data!M113&gt;0),IF(Clean_Data!N113&lt;=Clean_Data!M113*1.2,"Healthy","Over Budget"),"N/A"),IF(AND(Clean_Data!K113="In Progress",ISNUMBER(Clean_Data!L113)),IF(Clean_Data!L113&gt;=0.5,"On Track","Slow"),"N/A"))</f>
        <v>Slow</v>
      </c>
      <c r="T113" s="5" t="str">
        <f>IF(AND(B113=TRUE(),ISNUMBER(Clean_Data!J113),ISNUMBER(Clean_Data!I113)),Clean_Data!J113&lt;=Clean_Data!I113,"")</f>
        <v/>
      </c>
      <c r="U113" s="20" t="b">
        <f>IF(NOT(ISNUMBER(Clean_Data!L113)),FALSE(),AND(Clean_Data!L113&gt;=0,Clean_Data!L113&lt;=1))</f>
        <v>1</v>
      </c>
    </row>
    <row r="114" spans="1:21" x14ac:dyDescent="0.3">
      <c r="A114" s="2" t="str">
        <f>Clean_Data!A114</f>
        <v>TSK-0113</v>
      </c>
      <c r="B114" s="19" t="b">
        <f>Clean_Data!K114="Completed"</f>
        <v>0</v>
      </c>
      <c r="C114" s="19" t="b">
        <f>OR(Clean_Data!K114="Not Started",Clean_Data!K114="In Progress",Clean_Data!K114="On Hold")</f>
        <v>1</v>
      </c>
      <c r="D114" s="19" t="b">
        <f ca="1">AND(ISNUMBER(Clean_Data!I114),Clean_Data!I114&lt;TODAY(),Clean_Data!K114&lt;&gt;"Completed",Clean_Data!K114&lt;&gt;"Cancelled")</f>
        <v>1</v>
      </c>
      <c r="E114" s="2">
        <f ca="1">IF(AND(ISNUMBER(Clean_Data!H114),Clean_Data!K114&lt;&gt;"Completed",Clean_Data!K114&lt;&gt;"Cancelled"),TODAY()-Clean_Data!H114,"")</f>
        <v>821</v>
      </c>
      <c r="F114" s="2">
        <f ca="1">IF(AND(B114=TRUE(),ISNUMBER(Clean_Data!J114),ISNUMBER(Clean_Data!I114)),MAX(0,Clean_Data!J114-Clean_Data!I114),IF(AND(B114=FALSE(),ISNUMBER(Clean_Data!I114),Clean_Data!I114&lt;TODAY(),Clean_Data!K114&lt;&gt;"Cancelled"),MAX(0,TODAY()-Clean_Data!I114),""))</f>
        <v>800</v>
      </c>
      <c r="G114" s="2" t="str">
        <f>IF(AND(B114=TRUE(),ISNUMBER(Clean_Data!J114),ISNUMBER(Clean_Data!H114)),Clean_Data!J114-Clean_Data!H114,"")</f>
        <v/>
      </c>
      <c r="H114" s="2">
        <f ca="1">IF(AND(ISNUMBER(Clean_Data!J114),ISNUMBER(Clean_Data!H114)),Clean_Data!J114-Clean_Data!H114,IF(ISNUMBER(Clean_Data!H114),TODAY()-Clean_Data!H114,""))</f>
        <v>821</v>
      </c>
      <c r="I114" s="2" t="str">
        <f>IF(ISNUMBER(Clean_Data!I114),TEXT(Clean_Data!I114,"YYYY-MM"),"")</f>
        <v>2024-02</v>
      </c>
      <c r="J114" s="2" t="str">
        <f>IF(ISNUMBER(Clean_Data!H114),TEXT(Clean_Data!H114,"YYYY-MM"),"")</f>
        <v>2024-01</v>
      </c>
      <c r="K114" s="2" t="str">
        <f>IF(ISNUMBER(Clean_Data!J114),TEXT(Clean_Data!J114,"YYYY-MM"),"")</f>
        <v/>
      </c>
      <c r="L114" s="2">
        <f>IF(ISNUMBER(Clean_Data!H114),YEAR(Clean_Data!H114),"")</f>
        <v>2024</v>
      </c>
      <c r="M114" s="2">
        <f>IF(ISNUMBER(Clean_Data!H114),MONTH(Clean_Data!H114),"")</f>
        <v>1</v>
      </c>
      <c r="N114" s="2" t="str">
        <f>IF(ISNUMBER(Clean_Data!H114),TEXT(Clean_Data!H114,"MMMM"),"")</f>
        <v>January</v>
      </c>
      <c r="O114" s="19" t="b">
        <f t="shared" ca="1" si="3"/>
        <v>1</v>
      </c>
      <c r="P114" s="19" t="b">
        <f>AND(OR(Clean_Data!F114="High",Clean_Data!F114="Critical"),C114=TRUE())</f>
        <v>1</v>
      </c>
      <c r="Q114" s="19" t="b">
        <f ca="1">AND(OR(Clean_Data!F114="High",Clean_Data!F114="Critical"),D114=TRUE())</f>
        <v>1</v>
      </c>
      <c r="R114" s="19" t="b">
        <f ca="1">AND(Clean_Data!K114="In Progress",ISNUMBER(Clean_Data!H114),TODAY()-Clean_Data!H114&gt;30)</f>
        <v>1</v>
      </c>
      <c r="S114" s="2" t="str">
        <f>IF(B114=TRUE(),IF(AND(ISNUMBER(Clean_Data!N114),ISNUMBER(Clean_Data!M114),Clean_Data!M114&gt;0),IF(Clean_Data!N114&lt;=Clean_Data!M114*1.2,"Healthy","Over Budget"),"N/A"),IF(AND(Clean_Data!K114="In Progress",ISNUMBER(Clean_Data!L114)),IF(Clean_Data!L114&gt;=0.5,"On Track","Slow"),"N/A"))</f>
        <v>N/A</v>
      </c>
      <c r="T114" s="2" t="str">
        <f>IF(AND(B114=TRUE(),ISNUMBER(Clean_Data!J114),ISNUMBER(Clean_Data!I114)),Clean_Data!J114&lt;=Clean_Data!I114,"")</f>
        <v/>
      </c>
      <c r="U114" s="19" t="b">
        <f>IF(NOT(ISNUMBER(Clean_Data!L114)),FALSE(),AND(Clean_Data!L114&gt;=0,Clean_Data!L114&lt;=1))</f>
        <v>0</v>
      </c>
    </row>
    <row r="115" spans="1:21" x14ac:dyDescent="0.3">
      <c r="A115" s="5" t="str">
        <f>Clean_Data!A115</f>
        <v>TSK-0114</v>
      </c>
      <c r="B115" s="20" t="b">
        <f>Clean_Data!K115="Completed"</f>
        <v>1</v>
      </c>
      <c r="C115" s="20" t="b">
        <f>OR(Clean_Data!K115="Not Started",Clean_Data!K115="In Progress",Clean_Data!K115="On Hold")</f>
        <v>0</v>
      </c>
      <c r="D115" s="20" t="b">
        <f ca="1">AND(ISNUMBER(Clean_Data!I115),Clean_Data!I115&lt;TODAY(),Clean_Data!K115&lt;&gt;"Completed",Clean_Data!K115&lt;&gt;"Cancelled")</f>
        <v>0</v>
      </c>
      <c r="E115" s="5" t="str">
        <f ca="1">IF(AND(ISNUMBER(Clean_Data!H115),Clean_Data!K115&lt;&gt;"Completed",Clean_Data!K115&lt;&gt;"Cancelled"),TODAY()-Clean_Data!H115,"")</f>
        <v/>
      </c>
      <c r="F115" s="5">
        <f ca="1">IF(AND(B115=TRUE(),ISNUMBER(Clean_Data!J115),ISNUMBER(Clean_Data!I115)),MAX(0,Clean_Data!J115-Clean_Data!I115),IF(AND(B115=FALSE(),ISNUMBER(Clean_Data!I115),Clean_Data!I115&lt;TODAY(),Clean_Data!K115&lt;&gt;"Cancelled"),MAX(0,TODAY()-Clean_Data!I115),""))</f>
        <v>10</v>
      </c>
      <c r="G115" s="5">
        <f>IF(AND(B115=TRUE(),ISNUMBER(Clean_Data!J115),ISNUMBER(Clean_Data!H115)),Clean_Data!J115-Clean_Data!H115,"")</f>
        <v>53</v>
      </c>
      <c r="H115" s="5">
        <f ca="1">IF(AND(ISNUMBER(Clean_Data!J115),ISNUMBER(Clean_Data!H115)),Clean_Data!J115-Clean_Data!H115,IF(ISNUMBER(Clean_Data!H115),TODAY()-Clean_Data!H115,""))</f>
        <v>53</v>
      </c>
      <c r="I115" s="5" t="str">
        <f>IF(ISNUMBER(Clean_Data!I115),TEXT(Clean_Data!I115,"YYYY-MM"),"")</f>
        <v>2024-10</v>
      </c>
      <c r="J115" s="5" t="str">
        <f>IF(ISNUMBER(Clean_Data!H115),TEXT(Clean_Data!H115,"YYYY-MM"),"")</f>
        <v>2024-09</v>
      </c>
      <c r="K115" s="5" t="str">
        <f>IF(ISNUMBER(Clean_Data!J115),TEXT(Clean_Data!J115,"YYYY-MM"),"")</f>
        <v>2024-11</v>
      </c>
      <c r="L115" s="5">
        <f>IF(ISNUMBER(Clean_Data!H115),YEAR(Clean_Data!H115),"")</f>
        <v>2024</v>
      </c>
      <c r="M115" s="5">
        <f>IF(ISNUMBER(Clean_Data!H115),MONTH(Clean_Data!H115),"")</f>
        <v>9</v>
      </c>
      <c r="N115" s="5" t="str">
        <f>IF(ISNUMBER(Clean_Data!H115),TEXT(Clean_Data!H115,"MMMM"),"")</f>
        <v>September</v>
      </c>
      <c r="O115" s="20" t="b">
        <f t="shared" ca="1" si="3"/>
        <v>0</v>
      </c>
      <c r="P115" s="20" t="b">
        <f>AND(OR(Clean_Data!F115="High",Clean_Data!F115="Critical"),C115=TRUE())</f>
        <v>0</v>
      </c>
      <c r="Q115" s="20" t="b">
        <f ca="1">AND(OR(Clean_Data!F115="High",Clean_Data!F115="Critical"),D115=TRUE())</f>
        <v>0</v>
      </c>
      <c r="R115" s="20" t="b">
        <f ca="1">AND(Clean_Data!K115="In Progress",ISNUMBER(Clean_Data!H115),TODAY()-Clean_Data!H115&gt;30)</f>
        <v>0</v>
      </c>
      <c r="S115" s="5" t="str">
        <f>IF(B115=TRUE(),IF(AND(ISNUMBER(Clean_Data!N115),ISNUMBER(Clean_Data!M115),Clean_Data!M115&gt;0),IF(Clean_Data!N115&lt;=Clean_Data!M115*1.2,"Healthy","Over Budget"),"N/A"),IF(AND(Clean_Data!K115="In Progress",ISNUMBER(Clean_Data!L115)),IF(Clean_Data!L115&gt;=0.5,"On Track","Slow"),"N/A"))</f>
        <v>Over Budget</v>
      </c>
      <c r="T115" s="20" t="b">
        <f>IF(AND(B115=TRUE(),ISNUMBER(Clean_Data!J115),ISNUMBER(Clean_Data!I115)),Clean_Data!J115&lt;=Clean_Data!I115,"")</f>
        <v>0</v>
      </c>
      <c r="U115" s="20" t="b">
        <f>IF(NOT(ISNUMBER(Clean_Data!L115)),FALSE(),AND(Clean_Data!L115&gt;=0,Clean_Data!L115&lt;=1))</f>
        <v>1</v>
      </c>
    </row>
    <row r="116" spans="1:21" x14ac:dyDescent="0.3">
      <c r="A116" s="2" t="str">
        <f>Clean_Data!A116</f>
        <v>TSK-0115</v>
      </c>
      <c r="B116" s="19" t="b">
        <f>Clean_Data!K116="Completed"</f>
        <v>1</v>
      </c>
      <c r="C116" s="19" t="b">
        <f>OR(Clean_Data!K116="Not Started",Clean_Data!K116="In Progress",Clean_Data!K116="On Hold")</f>
        <v>0</v>
      </c>
      <c r="D116" s="19" t="b">
        <f ca="1">AND(ISNUMBER(Clean_Data!I116),Clean_Data!I116&lt;TODAY(),Clean_Data!K116&lt;&gt;"Completed",Clean_Data!K116&lt;&gt;"Cancelled")</f>
        <v>0</v>
      </c>
      <c r="E116" s="2" t="str">
        <f ca="1">IF(AND(ISNUMBER(Clean_Data!H116),Clean_Data!K116&lt;&gt;"Completed",Clean_Data!K116&lt;&gt;"Cancelled"),TODAY()-Clean_Data!H116,"")</f>
        <v/>
      </c>
      <c r="F116" s="2">
        <f ca="1">IF(AND(B116=TRUE(),ISNUMBER(Clean_Data!J116),ISNUMBER(Clean_Data!I116)),MAX(0,Clean_Data!J116-Clean_Data!I116),IF(AND(B116=FALSE(),ISNUMBER(Clean_Data!I116),Clean_Data!I116&lt;TODAY(),Clean_Data!K116&lt;&gt;"Cancelled"),MAX(0,TODAY()-Clean_Data!I116),""))</f>
        <v>6</v>
      </c>
      <c r="G116" s="2">
        <f>IF(AND(B116=TRUE(),ISNUMBER(Clean_Data!J116),ISNUMBER(Clean_Data!H116)),Clean_Data!J116-Clean_Data!H116,"")</f>
        <v>34</v>
      </c>
      <c r="H116" s="2">
        <f ca="1">IF(AND(ISNUMBER(Clean_Data!J116),ISNUMBER(Clean_Data!H116)),Clean_Data!J116-Clean_Data!H116,IF(ISNUMBER(Clean_Data!H116),TODAY()-Clean_Data!H116,""))</f>
        <v>34</v>
      </c>
      <c r="I116" s="2" t="str">
        <f>IF(ISNUMBER(Clean_Data!I116),TEXT(Clean_Data!I116,"YYYY-MM"),"")</f>
        <v>2024-10</v>
      </c>
      <c r="J116" s="2" t="str">
        <f>IF(ISNUMBER(Clean_Data!H116),TEXT(Clean_Data!H116,"YYYY-MM"),"")</f>
        <v>2024-09</v>
      </c>
      <c r="K116" s="2" t="str">
        <f>IF(ISNUMBER(Clean_Data!J116),TEXT(Clean_Data!J116,"YYYY-MM"),"")</f>
        <v>2024-11</v>
      </c>
      <c r="L116" s="2">
        <f>IF(ISNUMBER(Clean_Data!H116),YEAR(Clean_Data!H116),"")</f>
        <v>2024</v>
      </c>
      <c r="M116" s="2">
        <f>IF(ISNUMBER(Clean_Data!H116),MONTH(Clean_Data!H116),"")</f>
        <v>9</v>
      </c>
      <c r="N116" s="2" t="str">
        <f>IF(ISNUMBER(Clean_Data!H116),TEXT(Clean_Data!H116,"MMMM"),"")</f>
        <v>September</v>
      </c>
      <c r="O116" s="19" t="b">
        <f t="shared" ca="1" si="3"/>
        <v>0</v>
      </c>
      <c r="P116" s="19" t="b">
        <f>AND(OR(Clean_Data!F116="High",Clean_Data!F116="Critical"),C116=TRUE())</f>
        <v>0</v>
      </c>
      <c r="Q116" s="19" t="b">
        <f ca="1">AND(OR(Clean_Data!F116="High",Clean_Data!F116="Critical"),D116=TRUE())</f>
        <v>0</v>
      </c>
      <c r="R116" s="19" t="b">
        <f ca="1">AND(Clean_Data!K116="In Progress",ISNUMBER(Clean_Data!H116),TODAY()-Clean_Data!H116&gt;30)</f>
        <v>0</v>
      </c>
      <c r="S116" s="2" t="str">
        <f>IF(B116=TRUE(),IF(AND(ISNUMBER(Clean_Data!N116),ISNUMBER(Clean_Data!M116),Clean_Data!M116&gt;0),IF(Clean_Data!N116&lt;=Clean_Data!M116*1.2,"Healthy","Over Budget"),"N/A"),IF(AND(Clean_Data!K116="In Progress",ISNUMBER(Clean_Data!L116)),IF(Clean_Data!L116&gt;=0.5,"On Track","Slow"),"N/A"))</f>
        <v>Over Budget</v>
      </c>
      <c r="T116" s="19" t="b">
        <f>IF(AND(B116=TRUE(),ISNUMBER(Clean_Data!J116),ISNUMBER(Clean_Data!I116)),Clean_Data!J116&lt;=Clean_Data!I116,"")</f>
        <v>0</v>
      </c>
      <c r="U116" s="19" t="b">
        <f>IF(NOT(ISNUMBER(Clean_Data!L116)),FALSE(),AND(Clean_Data!L116&gt;=0,Clean_Data!L116&lt;=1))</f>
        <v>1</v>
      </c>
    </row>
    <row r="117" spans="1:21" x14ac:dyDescent="0.3">
      <c r="A117" s="5" t="str">
        <f>Clean_Data!A117</f>
        <v>TSK-0116</v>
      </c>
      <c r="B117" s="20" t="b">
        <f>Clean_Data!K117="Completed"</f>
        <v>0</v>
      </c>
      <c r="C117" s="20" t="b">
        <f>OR(Clean_Data!K117="Not Started",Clean_Data!K117="In Progress",Clean_Data!K117="On Hold")</f>
        <v>1</v>
      </c>
      <c r="D117" s="20" t="b">
        <f ca="1">AND(ISNUMBER(Clean_Data!I117),Clean_Data!I117&lt;TODAY(),Clean_Data!K117&lt;&gt;"Completed",Clean_Data!K117&lt;&gt;"Cancelled")</f>
        <v>1</v>
      </c>
      <c r="E117" s="5">
        <f ca="1">IF(AND(ISNUMBER(Clean_Data!H117),Clean_Data!K117&lt;&gt;"Completed",Clean_Data!K117&lt;&gt;"Cancelled"),TODAY()-Clean_Data!H117,"")</f>
        <v>448</v>
      </c>
      <c r="F117" s="5">
        <f ca="1">IF(AND(B117=TRUE(),ISNUMBER(Clean_Data!J117),ISNUMBER(Clean_Data!I117)),MAX(0,Clean_Data!J117-Clean_Data!I117),IF(AND(B117=FALSE(),ISNUMBER(Clean_Data!I117),Clean_Data!I117&lt;TODAY(),Clean_Data!K117&lt;&gt;"Cancelled"),MAX(0,TODAY()-Clean_Data!I117),""))</f>
        <v>442</v>
      </c>
      <c r="G117" s="5" t="str">
        <f>IF(AND(B117=TRUE(),ISNUMBER(Clean_Data!J117),ISNUMBER(Clean_Data!H117)),Clean_Data!J117-Clean_Data!H117,"")</f>
        <v/>
      </c>
      <c r="H117" s="5">
        <f ca="1">IF(AND(ISNUMBER(Clean_Data!J117),ISNUMBER(Clean_Data!H117)),Clean_Data!J117-Clean_Data!H117,IF(ISNUMBER(Clean_Data!H117),TODAY()-Clean_Data!H117,""))</f>
        <v>448</v>
      </c>
      <c r="I117" s="5" t="str">
        <f>IF(ISNUMBER(Clean_Data!I117),TEXT(Clean_Data!I117,"YYYY-MM"),"")</f>
        <v>2025-01</v>
      </c>
      <c r="J117" s="5" t="str">
        <f>IF(ISNUMBER(Clean_Data!H117),TEXT(Clean_Data!H117,"YYYY-MM"),"")</f>
        <v>2025-01</v>
      </c>
      <c r="K117" s="5" t="str">
        <f>IF(ISNUMBER(Clean_Data!J117),TEXT(Clean_Data!J117,"YYYY-MM"),"")</f>
        <v/>
      </c>
      <c r="L117" s="5">
        <f>IF(ISNUMBER(Clean_Data!H117),YEAR(Clean_Data!H117),"")</f>
        <v>2025</v>
      </c>
      <c r="M117" s="5">
        <f>IF(ISNUMBER(Clean_Data!H117),MONTH(Clean_Data!H117),"")</f>
        <v>1</v>
      </c>
      <c r="N117" s="5" t="str">
        <f>IF(ISNUMBER(Clean_Data!H117),TEXT(Clean_Data!H117,"MMMM"),"")</f>
        <v>January</v>
      </c>
      <c r="O117" s="20" t="b">
        <f t="shared" ca="1" si="3"/>
        <v>1</v>
      </c>
      <c r="P117" s="20" t="b">
        <f>AND(OR(Clean_Data!F117="High",Clean_Data!F117="Critical"),C117=TRUE())</f>
        <v>0</v>
      </c>
      <c r="Q117" s="20" t="b">
        <f ca="1">AND(OR(Clean_Data!F117="High",Clean_Data!F117="Critical"),D117=TRUE())</f>
        <v>0</v>
      </c>
      <c r="R117" s="20" t="b">
        <f ca="1">AND(Clean_Data!K117="In Progress",ISNUMBER(Clean_Data!H117),TODAY()-Clean_Data!H117&gt;30)</f>
        <v>0</v>
      </c>
      <c r="S117" s="5" t="str">
        <f>IF(B117=TRUE(),IF(AND(ISNUMBER(Clean_Data!N117),ISNUMBER(Clean_Data!M117),Clean_Data!M117&gt;0),IF(Clean_Data!N117&lt;=Clean_Data!M117*1.2,"Healthy","Over Budget"),"N/A"),IF(AND(Clean_Data!K117="In Progress",ISNUMBER(Clean_Data!L117)),IF(Clean_Data!L117&gt;=0.5,"On Track","Slow"),"N/A"))</f>
        <v>N/A</v>
      </c>
      <c r="T117" s="5" t="str">
        <f>IF(AND(B117=TRUE(),ISNUMBER(Clean_Data!J117),ISNUMBER(Clean_Data!I117)),Clean_Data!J117&lt;=Clean_Data!I117,"")</f>
        <v/>
      </c>
      <c r="U117" s="20" t="b">
        <f>IF(NOT(ISNUMBER(Clean_Data!L117)),FALSE(),AND(Clean_Data!L117&gt;=0,Clean_Data!L117&lt;=1))</f>
        <v>1</v>
      </c>
    </row>
    <row r="118" spans="1:21" x14ac:dyDescent="0.3">
      <c r="A118" s="2" t="str">
        <f>Clean_Data!A118</f>
        <v>TSK-0117</v>
      </c>
      <c r="B118" s="19" t="b">
        <f>Clean_Data!K118="Completed"</f>
        <v>0</v>
      </c>
      <c r="C118" s="19" t="b">
        <f>OR(Clean_Data!K118="Not Started",Clean_Data!K118="In Progress",Clean_Data!K118="On Hold")</f>
        <v>1</v>
      </c>
      <c r="D118" s="19" t="b">
        <f ca="1">AND(ISNUMBER(Clean_Data!I118),Clean_Data!I118&lt;TODAY(),Clean_Data!K118&lt;&gt;"Completed",Clean_Data!K118&lt;&gt;"Cancelled")</f>
        <v>1</v>
      </c>
      <c r="E118" s="2">
        <f ca="1">IF(AND(ISNUMBER(Clean_Data!H118),Clean_Data!K118&lt;&gt;"Completed",Clean_Data!K118&lt;&gt;"Cancelled"),TODAY()-Clean_Data!H118,"")</f>
        <v>501</v>
      </c>
      <c r="F118" s="2">
        <f ca="1">IF(AND(B118=TRUE(),ISNUMBER(Clean_Data!J118),ISNUMBER(Clean_Data!I118)),MAX(0,Clean_Data!J118-Clean_Data!I118),IF(AND(B118=FALSE(),ISNUMBER(Clean_Data!I118),Clean_Data!I118&lt;TODAY(),Clean_Data!K118&lt;&gt;"Cancelled"),MAX(0,TODAY()-Clean_Data!I118),""))</f>
        <v>485</v>
      </c>
      <c r="G118" s="2" t="str">
        <f>IF(AND(B118=TRUE(),ISNUMBER(Clean_Data!J118),ISNUMBER(Clean_Data!H118)),Clean_Data!J118-Clean_Data!H118,"")</f>
        <v/>
      </c>
      <c r="H118" s="2">
        <f ca="1">IF(AND(ISNUMBER(Clean_Data!J118),ISNUMBER(Clean_Data!H118)),Clean_Data!J118-Clean_Data!H118,IF(ISNUMBER(Clean_Data!H118),TODAY()-Clean_Data!H118,""))</f>
        <v>501</v>
      </c>
      <c r="I118" s="2" t="str">
        <f>IF(ISNUMBER(Clean_Data!I118),TEXT(Clean_Data!I118,"YYYY-MM"),"")</f>
        <v>2024-12</v>
      </c>
      <c r="J118" s="2" t="str">
        <f>IF(ISNUMBER(Clean_Data!H118),TEXT(Clean_Data!H118,"YYYY-MM"),"")</f>
        <v>2024-11</v>
      </c>
      <c r="K118" s="2" t="str">
        <f>IF(ISNUMBER(Clean_Data!J118),TEXT(Clean_Data!J118,"YYYY-MM"),"")</f>
        <v/>
      </c>
      <c r="L118" s="2">
        <f>IF(ISNUMBER(Clean_Data!H118),YEAR(Clean_Data!H118),"")</f>
        <v>2024</v>
      </c>
      <c r="M118" s="2">
        <f>IF(ISNUMBER(Clean_Data!H118),MONTH(Clean_Data!H118),"")</f>
        <v>11</v>
      </c>
      <c r="N118" s="2" t="str">
        <f>IF(ISNUMBER(Clean_Data!H118),TEXT(Clean_Data!H118,"MMMM"),"")</f>
        <v>November</v>
      </c>
      <c r="O118" s="19" t="b">
        <f t="shared" ca="1" si="3"/>
        <v>1</v>
      </c>
      <c r="P118" s="19" t="b">
        <f>AND(OR(Clean_Data!F118="High",Clean_Data!F118="Critical"),C118=TRUE())</f>
        <v>0</v>
      </c>
      <c r="Q118" s="19" t="b">
        <f ca="1">AND(OR(Clean_Data!F118="High",Clean_Data!F118="Critical"),D118=TRUE())</f>
        <v>0</v>
      </c>
      <c r="R118" s="19" t="b">
        <f ca="1">AND(Clean_Data!K118="In Progress",ISNUMBER(Clean_Data!H118),TODAY()-Clean_Data!H118&gt;30)</f>
        <v>0</v>
      </c>
      <c r="S118" s="2" t="str">
        <f>IF(B118=TRUE(),IF(AND(ISNUMBER(Clean_Data!N118),ISNUMBER(Clean_Data!M118),Clean_Data!M118&gt;0),IF(Clean_Data!N118&lt;=Clean_Data!M118*1.2,"Healthy","Over Budget"),"N/A"),IF(AND(Clean_Data!K118="In Progress",ISNUMBER(Clean_Data!L118)),IF(Clean_Data!L118&gt;=0.5,"On Track","Slow"),"N/A"))</f>
        <v>N/A</v>
      </c>
      <c r="T118" s="2" t="str">
        <f>IF(AND(B118=TRUE(),ISNUMBER(Clean_Data!J118),ISNUMBER(Clean_Data!I118)),Clean_Data!J118&lt;=Clean_Data!I118,"")</f>
        <v/>
      </c>
      <c r="U118" s="19" t="b">
        <f>IF(NOT(ISNUMBER(Clean_Data!L118)),FALSE(),AND(Clean_Data!L118&gt;=0,Clean_Data!L118&lt;=1))</f>
        <v>0</v>
      </c>
    </row>
    <row r="119" spans="1:21" x14ac:dyDescent="0.3">
      <c r="A119" s="5" t="str">
        <f>Clean_Data!A119</f>
        <v>TSK-0118</v>
      </c>
      <c r="B119" s="20" t="b">
        <f>Clean_Data!K119="Completed"</f>
        <v>0</v>
      </c>
      <c r="C119" s="20" t="b">
        <f>OR(Clean_Data!K119="Not Started",Clean_Data!K119="In Progress",Clean_Data!K119="On Hold")</f>
        <v>1</v>
      </c>
      <c r="D119" s="20" t="b">
        <f ca="1">AND(ISNUMBER(Clean_Data!I119),Clean_Data!I119&lt;TODAY(),Clean_Data!K119&lt;&gt;"Completed",Clean_Data!K119&lt;&gt;"Cancelled")</f>
        <v>1</v>
      </c>
      <c r="E119" s="5">
        <f ca="1">IF(AND(ISNUMBER(Clean_Data!H119),Clean_Data!K119&lt;&gt;"Completed",Clean_Data!K119&lt;&gt;"Cancelled"),TODAY()-Clean_Data!H119,"")</f>
        <v>809</v>
      </c>
      <c r="F119" s="5">
        <f ca="1">IF(AND(B119=TRUE(),ISNUMBER(Clean_Data!J119),ISNUMBER(Clean_Data!I119)),MAX(0,Clean_Data!J119-Clean_Data!I119),IF(AND(B119=FALSE(),ISNUMBER(Clean_Data!I119),Clean_Data!I119&lt;TODAY(),Clean_Data!K119&lt;&gt;"Cancelled"),MAX(0,TODAY()-Clean_Data!I119),""))</f>
        <v>784</v>
      </c>
      <c r="G119" s="5" t="str">
        <f>IF(AND(B119=TRUE(),ISNUMBER(Clean_Data!J119),ISNUMBER(Clean_Data!H119)),Clean_Data!J119-Clean_Data!H119,"")</f>
        <v/>
      </c>
      <c r="H119" s="5">
        <f ca="1">IF(AND(ISNUMBER(Clean_Data!J119),ISNUMBER(Clean_Data!H119)),Clean_Data!J119-Clean_Data!H119,IF(ISNUMBER(Clean_Data!H119),TODAY()-Clean_Data!H119,""))</f>
        <v>809</v>
      </c>
      <c r="I119" s="5" t="str">
        <f>IF(ISNUMBER(Clean_Data!I119),TEXT(Clean_Data!I119,"YYYY-MM"),"")</f>
        <v>2024-02</v>
      </c>
      <c r="J119" s="5" t="str">
        <f>IF(ISNUMBER(Clean_Data!H119),TEXT(Clean_Data!H119,"YYYY-MM"),"")</f>
        <v>2024-01</v>
      </c>
      <c r="K119" s="5" t="str">
        <f>IF(ISNUMBER(Clean_Data!J119),TEXT(Clean_Data!J119,"YYYY-MM"),"")</f>
        <v/>
      </c>
      <c r="L119" s="5">
        <f>IF(ISNUMBER(Clean_Data!H119),YEAR(Clean_Data!H119),"")</f>
        <v>2024</v>
      </c>
      <c r="M119" s="5">
        <f>IF(ISNUMBER(Clean_Data!H119),MONTH(Clean_Data!H119),"")</f>
        <v>1</v>
      </c>
      <c r="N119" s="5" t="str">
        <f>IF(ISNUMBER(Clean_Data!H119),TEXT(Clean_Data!H119,"MMMM"),"")</f>
        <v>January</v>
      </c>
      <c r="O119" s="20" t="b">
        <f t="shared" ca="1" si="3"/>
        <v>1</v>
      </c>
      <c r="P119" s="20" t="b">
        <f>AND(OR(Clean_Data!F119="High",Clean_Data!F119="Critical"),C119=TRUE())</f>
        <v>1</v>
      </c>
      <c r="Q119" s="20" t="b">
        <f ca="1">AND(OR(Clean_Data!F119="High",Clean_Data!F119="Critical"),D119=TRUE())</f>
        <v>1</v>
      </c>
      <c r="R119" s="20" t="b">
        <f ca="1">AND(Clean_Data!K119="In Progress",ISNUMBER(Clean_Data!H119),TODAY()-Clean_Data!H119&gt;30)</f>
        <v>0</v>
      </c>
      <c r="S119" s="5" t="str">
        <f>IF(B119=TRUE(),IF(AND(ISNUMBER(Clean_Data!N119),ISNUMBER(Clean_Data!M119),Clean_Data!M119&gt;0),IF(Clean_Data!N119&lt;=Clean_Data!M119*1.2,"Healthy","Over Budget"),"N/A"),IF(AND(Clean_Data!K119="In Progress",ISNUMBER(Clean_Data!L119)),IF(Clean_Data!L119&gt;=0.5,"On Track","Slow"),"N/A"))</f>
        <v>N/A</v>
      </c>
      <c r="T119" s="5" t="str">
        <f>IF(AND(B119=TRUE(),ISNUMBER(Clean_Data!J119),ISNUMBER(Clean_Data!I119)),Clean_Data!J119&lt;=Clean_Data!I119,"")</f>
        <v/>
      </c>
      <c r="U119" s="20" t="b">
        <f>IF(NOT(ISNUMBER(Clean_Data!L119)),FALSE(),AND(Clean_Data!L119&gt;=0,Clean_Data!L119&lt;=1))</f>
        <v>0</v>
      </c>
    </row>
    <row r="120" spans="1:21" x14ac:dyDescent="0.3">
      <c r="A120" s="2" t="str">
        <f>Clean_Data!A120</f>
        <v>TSK-0119</v>
      </c>
      <c r="B120" s="19" t="b">
        <f>Clean_Data!K120="Completed"</f>
        <v>0</v>
      </c>
      <c r="C120" s="19" t="b">
        <f>OR(Clean_Data!K120="Not Started",Clean_Data!K120="In Progress",Clean_Data!K120="On Hold")</f>
        <v>1</v>
      </c>
      <c r="D120" s="19" t="b">
        <f ca="1">AND(ISNUMBER(Clean_Data!I120),Clean_Data!I120&lt;TODAY(),Clean_Data!K120&lt;&gt;"Completed",Clean_Data!K120&lt;&gt;"Cancelled")</f>
        <v>1</v>
      </c>
      <c r="E120" s="2">
        <f ca="1">IF(AND(ISNUMBER(Clean_Data!H120),Clean_Data!K120&lt;&gt;"Completed",Clean_Data!K120&lt;&gt;"Cancelled"),TODAY()-Clean_Data!H120,"")</f>
        <v>495</v>
      </c>
      <c r="F120" s="2">
        <f ca="1">IF(AND(B120=TRUE(),ISNUMBER(Clean_Data!J120),ISNUMBER(Clean_Data!I120)),MAX(0,Clean_Data!J120-Clean_Data!I120),IF(AND(B120=FALSE(),ISNUMBER(Clean_Data!I120),Clean_Data!I120&lt;TODAY(),Clean_Data!K120&lt;&gt;"Cancelled"),MAX(0,TODAY()-Clean_Data!I120),""))</f>
        <v>469</v>
      </c>
      <c r="G120" s="2" t="str">
        <f>IF(AND(B120=TRUE(),ISNUMBER(Clean_Data!J120),ISNUMBER(Clean_Data!H120)),Clean_Data!J120-Clean_Data!H120,"")</f>
        <v/>
      </c>
      <c r="H120" s="2">
        <f ca="1">IF(AND(ISNUMBER(Clean_Data!J120),ISNUMBER(Clean_Data!H120)),Clean_Data!J120-Clean_Data!H120,IF(ISNUMBER(Clean_Data!H120),TODAY()-Clean_Data!H120,""))</f>
        <v>495</v>
      </c>
      <c r="I120" s="2" t="str">
        <f>IF(ISNUMBER(Clean_Data!I120),TEXT(Clean_Data!I120,"YYYY-MM"),"")</f>
        <v>2024-12</v>
      </c>
      <c r="J120" s="2" t="str">
        <f>IF(ISNUMBER(Clean_Data!H120),TEXT(Clean_Data!H120,"YYYY-MM"),"")</f>
        <v>2024-12</v>
      </c>
      <c r="K120" s="2" t="str">
        <f>IF(ISNUMBER(Clean_Data!J120),TEXT(Clean_Data!J120,"YYYY-MM"),"")</f>
        <v/>
      </c>
      <c r="L120" s="2">
        <f>IF(ISNUMBER(Clean_Data!H120),YEAR(Clean_Data!H120),"")</f>
        <v>2024</v>
      </c>
      <c r="M120" s="2">
        <f>IF(ISNUMBER(Clean_Data!H120),MONTH(Clean_Data!H120),"")</f>
        <v>12</v>
      </c>
      <c r="N120" s="2" t="str">
        <f>IF(ISNUMBER(Clean_Data!H120),TEXT(Clean_Data!H120,"MMMM"),"")</f>
        <v>December</v>
      </c>
      <c r="O120" s="19" t="b">
        <f t="shared" ca="1" si="3"/>
        <v>1</v>
      </c>
      <c r="P120" s="19" t="b">
        <f>AND(OR(Clean_Data!F120="High",Clean_Data!F120="Critical"),C120=TRUE())</f>
        <v>1</v>
      </c>
      <c r="Q120" s="19" t="b">
        <f ca="1">AND(OR(Clean_Data!F120="High",Clean_Data!F120="Critical"),D120=TRUE())</f>
        <v>1</v>
      </c>
      <c r="R120" s="19" t="b">
        <f ca="1">AND(Clean_Data!K120="In Progress",ISNUMBER(Clean_Data!H120),TODAY()-Clean_Data!H120&gt;30)</f>
        <v>0</v>
      </c>
      <c r="S120" s="2" t="str">
        <f>IF(B120=TRUE(),IF(AND(ISNUMBER(Clean_Data!N120),ISNUMBER(Clean_Data!M120),Clean_Data!M120&gt;0),IF(Clean_Data!N120&lt;=Clean_Data!M120*1.2,"Healthy","Over Budget"),"N/A"),IF(AND(Clean_Data!K120="In Progress",ISNUMBER(Clean_Data!L120)),IF(Clean_Data!L120&gt;=0.5,"On Track","Slow"),"N/A"))</f>
        <v>N/A</v>
      </c>
      <c r="T120" s="2" t="str">
        <f>IF(AND(B120=TRUE(),ISNUMBER(Clean_Data!J120),ISNUMBER(Clean_Data!I120)),Clean_Data!J120&lt;=Clean_Data!I120,"")</f>
        <v/>
      </c>
      <c r="U120" s="19" t="b">
        <f>IF(NOT(ISNUMBER(Clean_Data!L120)),FALSE(),AND(Clean_Data!L120&gt;=0,Clean_Data!L120&lt;=1))</f>
        <v>1</v>
      </c>
    </row>
    <row r="121" spans="1:21" x14ac:dyDescent="0.3">
      <c r="A121" s="5" t="str">
        <f>Clean_Data!A121</f>
        <v>TSK-0120</v>
      </c>
      <c r="B121" s="20" t="b">
        <f>Clean_Data!K121="Completed"</f>
        <v>0</v>
      </c>
      <c r="C121" s="20" t="b">
        <f>OR(Clean_Data!K121="Not Started",Clean_Data!K121="In Progress",Clean_Data!K121="On Hold")</f>
        <v>0</v>
      </c>
      <c r="D121" s="20" t="b">
        <f ca="1">AND(ISNUMBER(Clean_Data!I121),Clean_Data!I121&lt;TODAY(),Clean_Data!K121&lt;&gt;"Completed",Clean_Data!K121&lt;&gt;"Cancelled")</f>
        <v>0</v>
      </c>
      <c r="E121" s="5" t="str">
        <f ca="1">IF(AND(ISNUMBER(Clean_Data!H121),Clean_Data!K121&lt;&gt;"Completed",Clean_Data!K121&lt;&gt;"Cancelled"),TODAY()-Clean_Data!H121,"")</f>
        <v/>
      </c>
      <c r="F121" s="5" t="str">
        <f ca="1">IF(AND(B121=TRUE(),ISNUMBER(Clean_Data!J121),ISNUMBER(Clean_Data!I121)),MAX(0,Clean_Data!J121-Clean_Data!I121),IF(AND(B121=FALSE(),ISNUMBER(Clean_Data!I121),Clean_Data!I121&lt;TODAY(),Clean_Data!K121&lt;&gt;"Cancelled"),MAX(0,TODAY()-Clean_Data!I121),""))</f>
        <v/>
      </c>
      <c r="G121" s="5" t="str">
        <f>IF(AND(B121=TRUE(),ISNUMBER(Clean_Data!J121),ISNUMBER(Clean_Data!H121)),Clean_Data!J121-Clean_Data!H121,"")</f>
        <v/>
      </c>
      <c r="H121" s="5">
        <f ca="1">IF(AND(ISNUMBER(Clean_Data!J121),ISNUMBER(Clean_Data!H121)),Clean_Data!J121-Clean_Data!H121,IF(ISNUMBER(Clean_Data!H121),TODAY()-Clean_Data!H121,""))</f>
        <v>642</v>
      </c>
      <c r="I121" s="5" t="str">
        <f>IF(ISNUMBER(Clean_Data!I121),TEXT(Clean_Data!I121,"YYYY-MM"),"")</f>
        <v>2024-09</v>
      </c>
      <c r="J121" s="5" t="str">
        <f>IF(ISNUMBER(Clean_Data!H121),TEXT(Clean_Data!H121,"YYYY-MM"),"")</f>
        <v>2024-07</v>
      </c>
      <c r="K121" s="5" t="str">
        <f>IF(ISNUMBER(Clean_Data!J121),TEXT(Clean_Data!J121,"YYYY-MM"),"")</f>
        <v/>
      </c>
      <c r="L121" s="5">
        <f>IF(ISNUMBER(Clean_Data!H121),YEAR(Clean_Data!H121),"")</f>
        <v>2024</v>
      </c>
      <c r="M121" s="5">
        <f>IF(ISNUMBER(Clean_Data!H121),MONTH(Clean_Data!H121),"")</f>
        <v>7</v>
      </c>
      <c r="N121" s="5" t="str">
        <f>IF(ISNUMBER(Clean_Data!H121),TEXT(Clean_Data!H121,"MMMM"),"")</f>
        <v>July</v>
      </c>
      <c r="O121" s="20" t="b">
        <f t="shared" ca="1" si="3"/>
        <v>0</v>
      </c>
      <c r="P121" s="20" t="b">
        <f>AND(OR(Clean_Data!F121="High",Clean_Data!F121="Critical"),C121=TRUE())</f>
        <v>0</v>
      </c>
      <c r="Q121" s="20" t="b">
        <f ca="1">AND(OR(Clean_Data!F121="High",Clean_Data!F121="Critical"),D121=TRUE())</f>
        <v>0</v>
      </c>
      <c r="R121" s="20" t="b">
        <f ca="1">AND(Clean_Data!K121="In Progress",ISNUMBER(Clean_Data!H121),TODAY()-Clean_Data!H121&gt;30)</f>
        <v>0</v>
      </c>
      <c r="S121" s="5" t="str">
        <f>IF(B121=TRUE(),IF(AND(ISNUMBER(Clean_Data!N121),ISNUMBER(Clean_Data!M121),Clean_Data!M121&gt;0),IF(Clean_Data!N121&lt;=Clean_Data!M121*1.2,"Healthy","Over Budget"),"N/A"),IF(AND(Clean_Data!K121="In Progress",ISNUMBER(Clean_Data!L121)),IF(Clean_Data!L121&gt;=0.5,"On Track","Slow"),"N/A"))</f>
        <v>N/A</v>
      </c>
      <c r="T121" s="5" t="str">
        <f>IF(AND(B121=TRUE(),ISNUMBER(Clean_Data!J121),ISNUMBER(Clean_Data!I121)),Clean_Data!J121&lt;=Clean_Data!I121,"")</f>
        <v/>
      </c>
      <c r="U121" s="20" t="b">
        <f>IF(NOT(ISNUMBER(Clean_Data!L121)),FALSE(),AND(Clean_Data!L121&gt;=0,Clean_Data!L121&lt;=1))</f>
        <v>0</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03864"/>
  </sheetPr>
  <dimension ref="A1:O16"/>
  <sheetViews>
    <sheetView topLeftCell="C1" zoomScaleNormal="100" workbookViewId="0">
      <pane ySplit="1" topLeftCell="A2" activePane="bottomLeft" state="frozen"/>
      <selection pane="bottomLeft"/>
    </sheetView>
  </sheetViews>
  <sheetFormatPr defaultColWidth="8.6640625" defaultRowHeight="14.4" x14ac:dyDescent="0.3"/>
  <cols>
    <col min="1" max="1" width="17" customWidth="1"/>
    <col min="2" max="11" width="28" customWidth="1"/>
    <col min="12" max="12" width="21" customWidth="1"/>
    <col min="13" max="13" width="16" customWidth="1"/>
    <col min="14" max="14" width="21" customWidth="1"/>
    <col min="15" max="15" width="28" customWidth="1"/>
  </cols>
  <sheetData>
    <row r="1" spans="1:15" x14ac:dyDescent="0.3">
      <c r="A1" s="1" t="s">
        <v>352</v>
      </c>
      <c r="B1" s="1" t="s">
        <v>353</v>
      </c>
      <c r="C1" s="1" t="s">
        <v>354</v>
      </c>
      <c r="D1" s="1" t="s">
        <v>355</v>
      </c>
      <c r="E1" s="1" t="s">
        <v>356</v>
      </c>
      <c r="F1" s="1" t="s">
        <v>357</v>
      </c>
      <c r="G1" s="1" t="s">
        <v>358</v>
      </c>
      <c r="H1" s="1" t="s">
        <v>359</v>
      </c>
      <c r="I1" s="1" t="s">
        <v>360</v>
      </c>
      <c r="J1" s="1" t="s">
        <v>361</v>
      </c>
      <c r="K1" s="1" t="s">
        <v>362</v>
      </c>
      <c r="L1" s="1" t="s">
        <v>363</v>
      </c>
      <c r="M1" s="1" t="s">
        <v>364</v>
      </c>
      <c r="N1" s="1" t="s">
        <v>365</v>
      </c>
      <c r="O1" s="1" t="s">
        <v>366</v>
      </c>
    </row>
    <row r="2" spans="1:15" x14ac:dyDescent="0.3">
      <c r="A2" s="2" t="s">
        <v>117</v>
      </c>
      <c r="B2" s="2">
        <f>COUNTIFS(Clean_Data!D:D,A2)</f>
        <v>7</v>
      </c>
      <c r="C2" s="2">
        <f>COUNTIFS(Clean_Data!D:D,A2,Clean_Data!K:K,"&lt;&gt;Completed",Clean_Data!K:K,"&lt;&gt;Cancelled")</f>
        <v>2</v>
      </c>
      <c r="D2" s="2">
        <f>COUNTIFS(Clean_Data!D:D,A2,Clean_Data!K:K,"Completed")</f>
        <v>4</v>
      </c>
      <c r="E2" s="16">
        <f>SUMIFS(Clean_Data!M:M,Clean_Data!D:D,A2)</f>
        <v>227.19999999999996</v>
      </c>
      <c r="F2" s="16">
        <f>SUMIFS(Clean_Data!N:N,Clean_Data!D:D,A2)</f>
        <v>197.3</v>
      </c>
      <c r="G2" s="16">
        <f>IFERROR(AVERAGEIFS(Clean_Data!M:M,Clean_Data!D:D,A2),0)</f>
        <v>32.457142857142848</v>
      </c>
      <c r="H2" s="16">
        <f>IFERROR(AVERAGEIFS(Clean_Data!N:N,Clean_Data!D:D,A2),0)</f>
        <v>39.46</v>
      </c>
      <c r="I2" s="16">
        <f>IFERROR(AVERAGEIFS(Calc_Helper!G:G,Clean_Data!D:D,A2),0)</f>
        <v>46.5</v>
      </c>
      <c r="J2" s="2">
        <f ca="1">COUNTIFS(Clean_Data!D:D,A2,Calc_Helper!D:D,TRUE())</f>
        <v>2</v>
      </c>
      <c r="K2" s="2">
        <f>COUNTIFS(Clean_Data!D:D,A2,Calc_Helper!P:P,TRUE())</f>
        <v>2</v>
      </c>
      <c r="L2" s="26">
        <f t="shared" ref="L2:L16" si="0">IFERROR(D2/B2,0)</f>
        <v>0.5714285714285714</v>
      </c>
      <c r="M2" s="2">
        <v>160</v>
      </c>
      <c r="N2" s="26">
        <f t="shared" ref="N2:N16" si="1">IFERROR(F2/M2,0)</f>
        <v>1.233125</v>
      </c>
      <c r="O2" s="2" t="str">
        <f t="shared" ref="O2:O16" si="2">IF(N2&gt;1,"Overloaded",IF(N2&gt;0.8,"High",IF(N2&gt;0.5,"Balanced","Underutilized")))</f>
        <v>Overloaded</v>
      </c>
    </row>
    <row r="3" spans="1:15" x14ac:dyDescent="0.3">
      <c r="A3" s="5" t="s">
        <v>129</v>
      </c>
      <c r="B3" s="5">
        <f>COUNTIFS(Clean_Data!D:D,A3)</f>
        <v>11</v>
      </c>
      <c r="C3" s="5">
        <f>COUNTIFS(Clean_Data!D:D,A3,Clean_Data!K:K,"&lt;&gt;Completed",Clean_Data!K:K,"&lt;&gt;Cancelled")</f>
        <v>8</v>
      </c>
      <c r="D3" s="5">
        <f>COUNTIFS(Clean_Data!D:D,A3,Clean_Data!K:K,"Completed")</f>
        <v>3</v>
      </c>
      <c r="E3" s="18">
        <f>SUMIFS(Clean_Data!M:M,Clean_Data!D:D,A3)</f>
        <v>622.20000000000016</v>
      </c>
      <c r="F3" s="18">
        <f>SUMIFS(Clean_Data!N:N,Clean_Data!D:D,A3)</f>
        <v>211.5</v>
      </c>
      <c r="G3" s="18">
        <f>IFERROR(AVERAGEIFS(Clean_Data!M:M,Clean_Data!D:D,A3),0)</f>
        <v>56.563636363636377</v>
      </c>
      <c r="H3" s="18">
        <f>IFERROR(AVERAGEIFS(Clean_Data!N:N,Clean_Data!D:D,A3),0)</f>
        <v>30.214285714285715</v>
      </c>
      <c r="I3" s="18">
        <f>IFERROR(AVERAGEIFS(Calc_Helper!G:G,Clean_Data!D:D,A3),0)</f>
        <v>36.333333333333336</v>
      </c>
      <c r="J3" s="5">
        <f ca="1">COUNTIFS(Clean_Data!D:D,A3,Calc_Helper!D:D,TRUE())</f>
        <v>8</v>
      </c>
      <c r="K3" s="5">
        <f>COUNTIFS(Clean_Data!D:D,A3,Calc_Helper!P:P,TRUE())</f>
        <v>2</v>
      </c>
      <c r="L3" s="27">
        <f t="shared" si="0"/>
        <v>0.27272727272727271</v>
      </c>
      <c r="M3" s="5">
        <v>160</v>
      </c>
      <c r="N3" s="27">
        <f t="shared" si="1"/>
        <v>1.3218749999999999</v>
      </c>
      <c r="O3" s="5" t="str">
        <f t="shared" si="2"/>
        <v>Overloaded</v>
      </c>
    </row>
    <row r="4" spans="1:15" x14ac:dyDescent="0.3">
      <c r="A4" s="2" t="s">
        <v>167</v>
      </c>
      <c r="B4" s="2">
        <f>COUNTIFS(Clean_Data!D:D,A4)</f>
        <v>11</v>
      </c>
      <c r="C4" s="2">
        <f>COUNTIFS(Clean_Data!D:D,A4,Clean_Data!K:K,"&lt;&gt;Completed",Clean_Data!K:K,"&lt;&gt;Cancelled")</f>
        <v>8</v>
      </c>
      <c r="D4" s="2">
        <f>COUNTIFS(Clean_Data!D:D,A4,Clean_Data!K:K,"Completed")</f>
        <v>2</v>
      </c>
      <c r="E4" s="16">
        <f>SUMIFS(Clean_Data!M:M,Clean_Data!D:D,A4)</f>
        <v>431.70000000000005</v>
      </c>
      <c r="F4" s="16">
        <f>SUMIFS(Clean_Data!N:N,Clean_Data!D:D,A4)</f>
        <v>135.6</v>
      </c>
      <c r="G4" s="16">
        <f>IFERROR(AVERAGEIFS(Clean_Data!M:M,Clean_Data!D:D,A4),0)</f>
        <v>39.24545454545455</v>
      </c>
      <c r="H4" s="16">
        <f>IFERROR(AVERAGEIFS(Clean_Data!N:N,Clean_Data!D:D,A4),0)</f>
        <v>27.119999999999997</v>
      </c>
      <c r="I4" s="16">
        <f>IFERROR(AVERAGEIFS(Calc_Helper!G:G,Clean_Data!D:D,A4),0)</f>
        <v>9.5</v>
      </c>
      <c r="J4" s="2">
        <f ca="1">COUNTIFS(Clean_Data!D:D,A4,Calc_Helper!D:D,TRUE())</f>
        <v>8</v>
      </c>
      <c r="K4" s="2">
        <f>COUNTIFS(Clean_Data!D:D,A4,Calc_Helper!P:P,TRUE())</f>
        <v>5</v>
      </c>
      <c r="L4" s="26">
        <f t="shared" si="0"/>
        <v>0.18181818181818182</v>
      </c>
      <c r="M4" s="2">
        <v>160</v>
      </c>
      <c r="N4" s="26">
        <f t="shared" si="1"/>
        <v>0.84749999999999992</v>
      </c>
      <c r="O4" s="2" t="str">
        <f t="shared" si="2"/>
        <v>High</v>
      </c>
    </row>
    <row r="5" spans="1:15" x14ac:dyDescent="0.3">
      <c r="A5" s="5" t="s">
        <v>70</v>
      </c>
      <c r="B5" s="5">
        <f>COUNTIFS(Clean_Data!D:D,A5)</f>
        <v>11</v>
      </c>
      <c r="C5" s="5">
        <f>COUNTIFS(Clean_Data!D:D,A5,Clean_Data!K:K,"&lt;&gt;Completed",Clean_Data!K:K,"&lt;&gt;Cancelled")</f>
        <v>8</v>
      </c>
      <c r="D5" s="5">
        <f>COUNTIFS(Clean_Data!D:D,A5,Clean_Data!K:K,"Completed")</f>
        <v>2</v>
      </c>
      <c r="E5" s="18">
        <f>SUMIFS(Clean_Data!M:M,Clean_Data!D:D,A5)</f>
        <v>452.60000000000008</v>
      </c>
      <c r="F5" s="18">
        <f>SUMIFS(Clean_Data!N:N,Clean_Data!D:D,A5)</f>
        <v>142.5</v>
      </c>
      <c r="G5" s="18">
        <f>IFERROR(AVERAGEIFS(Clean_Data!M:M,Clean_Data!D:D,A5),0)</f>
        <v>41.145454545454555</v>
      </c>
      <c r="H5" s="18">
        <f>IFERROR(AVERAGEIFS(Clean_Data!N:N,Clean_Data!D:D,A5),0)</f>
        <v>28.5</v>
      </c>
      <c r="I5" s="18">
        <f>IFERROR(AVERAGEIFS(Calc_Helper!G:G,Clean_Data!D:D,A5),0)</f>
        <v>28</v>
      </c>
      <c r="J5" s="5">
        <f ca="1">COUNTIFS(Clean_Data!D:D,A5,Calc_Helper!D:D,TRUE())</f>
        <v>8</v>
      </c>
      <c r="K5" s="5">
        <f>COUNTIFS(Clean_Data!D:D,A5,Calc_Helper!P:P,TRUE())</f>
        <v>4</v>
      </c>
      <c r="L5" s="27">
        <f t="shared" si="0"/>
        <v>0.18181818181818182</v>
      </c>
      <c r="M5" s="5">
        <v>160</v>
      </c>
      <c r="N5" s="27">
        <f t="shared" si="1"/>
        <v>0.890625</v>
      </c>
      <c r="O5" s="5" t="str">
        <f t="shared" si="2"/>
        <v>High</v>
      </c>
    </row>
    <row r="6" spans="1:15" x14ac:dyDescent="0.3">
      <c r="A6" s="2" t="s">
        <v>37</v>
      </c>
      <c r="B6" s="2">
        <f>COUNTIFS(Clean_Data!D:D,A6)</f>
        <v>9</v>
      </c>
      <c r="C6" s="2">
        <f>COUNTIFS(Clean_Data!D:D,A6,Clean_Data!K:K,"&lt;&gt;Completed",Clean_Data!K:K,"&lt;&gt;Cancelled")</f>
        <v>5</v>
      </c>
      <c r="D6" s="2">
        <f>COUNTIFS(Clean_Data!D:D,A6,Clean_Data!K:K,"Completed")</f>
        <v>2</v>
      </c>
      <c r="E6" s="16">
        <f>SUMIFS(Clean_Data!M:M,Clean_Data!D:D,A6)</f>
        <v>387</v>
      </c>
      <c r="F6" s="16">
        <f>SUMIFS(Clean_Data!N:N,Clean_Data!D:D,A6)</f>
        <v>118.89999999999999</v>
      </c>
      <c r="G6" s="16">
        <f>IFERROR(AVERAGEIFS(Clean_Data!M:M,Clean_Data!D:D,A6),0)</f>
        <v>43</v>
      </c>
      <c r="H6" s="16">
        <f>IFERROR(AVERAGEIFS(Clean_Data!N:N,Clean_Data!D:D,A6),0)</f>
        <v>14.862499999999999</v>
      </c>
      <c r="I6" s="16">
        <f>IFERROR(AVERAGEIFS(Calc_Helper!G:G,Clean_Data!D:D,A6),0)</f>
        <v>9</v>
      </c>
      <c r="J6" s="2">
        <f ca="1">COUNTIFS(Clean_Data!D:D,A6,Calc_Helper!D:D,TRUE())</f>
        <v>5</v>
      </c>
      <c r="K6" s="2">
        <f>COUNTIFS(Clean_Data!D:D,A6,Calc_Helper!P:P,TRUE())</f>
        <v>4</v>
      </c>
      <c r="L6" s="26">
        <f t="shared" si="0"/>
        <v>0.22222222222222221</v>
      </c>
      <c r="M6" s="2">
        <v>160</v>
      </c>
      <c r="N6" s="26">
        <f t="shared" si="1"/>
        <v>0.74312499999999992</v>
      </c>
      <c r="O6" s="2" t="str">
        <f t="shared" si="2"/>
        <v>Balanced</v>
      </c>
    </row>
    <row r="7" spans="1:15" x14ac:dyDescent="0.3">
      <c r="A7" s="5" t="s">
        <v>262</v>
      </c>
      <c r="B7" s="5">
        <f>COUNTIFS(Clean_Data!D:D,A7)</f>
        <v>1</v>
      </c>
      <c r="C7" s="5">
        <f>COUNTIFS(Clean_Data!D:D,A7,Clean_Data!K:K,"&lt;&gt;Completed",Clean_Data!K:K,"&lt;&gt;Cancelled")</f>
        <v>0</v>
      </c>
      <c r="D7" s="5">
        <f>COUNTIFS(Clean_Data!D:D,A7,Clean_Data!K:K,"Completed")</f>
        <v>1</v>
      </c>
      <c r="E7" s="18">
        <f>SUMIFS(Clean_Data!M:M,Clean_Data!D:D,A7)</f>
        <v>78.7</v>
      </c>
      <c r="F7" s="18">
        <f>SUMIFS(Clean_Data!N:N,Clean_Data!D:D,A7)</f>
        <v>67.099999999999994</v>
      </c>
      <c r="G7" s="18">
        <f>IFERROR(AVERAGEIFS(Clean_Data!M:M,Clean_Data!D:D,A7),0)</f>
        <v>78.7</v>
      </c>
      <c r="H7" s="18">
        <f>IFERROR(AVERAGEIFS(Clean_Data!N:N,Clean_Data!D:D,A7),0)</f>
        <v>67.099999999999994</v>
      </c>
      <c r="I7" s="18">
        <f>IFERROR(AVERAGEIFS(Calc_Helper!G:G,Clean_Data!D:D,A7),0)</f>
        <v>48</v>
      </c>
      <c r="J7" s="5">
        <f ca="1">COUNTIFS(Clean_Data!D:D,A7,Calc_Helper!D:D,TRUE())</f>
        <v>0</v>
      </c>
      <c r="K7" s="5">
        <f>COUNTIFS(Clean_Data!D:D,A7,Calc_Helper!P:P,TRUE())</f>
        <v>0</v>
      </c>
      <c r="L7" s="27">
        <f t="shared" si="0"/>
        <v>1</v>
      </c>
      <c r="M7" s="5">
        <v>160</v>
      </c>
      <c r="N7" s="27">
        <f t="shared" si="1"/>
        <v>0.41937499999999994</v>
      </c>
      <c r="O7" s="5" t="str">
        <f t="shared" si="2"/>
        <v>Underutilized</v>
      </c>
    </row>
    <row r="8" spans="1:15" x14ac:dyDescent="0.3">
      <c r="A8" s="2" t="s">
        <v>100</v>
      </c>
      <c r="B8" s="2">
        <f>COUNTIFS(Clean_Data!D:D,A8)</f>
        <v>5</v>
      </c>
      <c r="C8" s="2">
        <f>COUNTIFS(Clean_Data!D:D,A8,Clean_Data!K:K,"&lt;&gt;Completed",Clean_Data!K:K,"&lt;&gt;Cancelled")</f>
        <v>2</v>
      </c>
      <c r="D8" s="2">
        <f>COUNTIFS(Clean_Data!D:D,A8,Clean_Data!K:K,"Completed")</f>
        <v>1</v>
      </c>
      <c r="E8" s="16">
        <f>SUMIFS(Clean_Data!M:M,Clean_Data!D:D,A8)</f>
        <v>213.7</v>
      </c>
      <c r="F8" s="16">
        <f>SUMIFS(Clean_Data!N:N,Clean_Data!D:D,A8)</f>
        <v>61.4</v>
      </c>
      <c r="G8" s="16">
        <f>IFERROR(AVERAGEIFS(Clean_Data!M:M,Clean_Data!D:D,A8),0)</f>
        <v>42.739999999999995</v>
      </c>
      <c r="H8" s="16">
        <f>IFERROR(AVERAGEIFS(Clean_Data!N:N,Clean_Data!D:D,A8),0)</f>
        <v>30.7</v>
      </c>
      <c r="I8" s="16">
        <f>IFERROR(AVERAGEIFS(Calc_Helper!G:G,Clean_Data!D:D,A8),0)</f>
        <v>53</v>
      </c>
      <c r="J8" s="2">
        <f ca="1">COUNTIFS(Clean_Data!D:D,A8,Calc_Helper!D:D,TRUE())</f>
        <v>2</v>
      </c>
      <c r="K8" s="2">
        <f>COUNTIFS(Clean_Data!D:D,A8,Calc_Helper!P:P,TRUE())</f>
        <v>1</v>
      </c>
      <c r="L8" s="26">
        <f t="shared" si="0"/>
        <v>0.2</v>
      </c>
      <c r="M8" s="2">
        <v>160</v>
      </c>
      <c r="N8" s="26">
        <f t="shared" si="1"/>
        <v>0.38374999999999998</v>
      </c>
      <c r="O8" s="2" t="str">
        <f t="shared" si="2"/>
        <v>Underutilized</v>
      </c>
    </row>
    <row r="9" spans="1:15" x14ac:dyDescent="0.3">
      <c r="A9" s="5" t="s">
        <v>78</v>
      </c>
      <c r="B9" s="5">
        <f>COUNTIFS(Clean_Data!D:D,A9)</f>
        <v>10</v>
      </c>
      <c r="C9" s="5">
        <f>COUNTIFS(Clean_Data!D:D,A9,Clean_Data!K:K,"&lt;&gt;Completed",Clean_Data!K:K,"&lt;&gt;Cancelled")</f>
        <v>8</v>
      </c>
      <c r="D9" s="5">
        <f>COUNTIFS(Clean_Data!D:D,A9,Clean_Data!K:K,"Completed")</f>
        <v>1</v>
      </c>
      <c r="E9" s="18">
        <f>SUMIFS(Clean_Data!M:M,Clean_Data!D:D,A9)</f>
        <v>317.3</v>
      </c>
      <c r="F9" s="18">
        <f>SUMIFS(Clean_Data!N:N,Clean_Data!D:D,A9)</f>
        <v>103.89999999999999</v>
      </c>
      <c r="G9" s="18">
        <f>IFERROR(AVERAGEIFS(Clean_Data!M:M,Clean_Data!D:D,A9),0)</f>
        <v>31.73</v>
      </c>
      <c r="H9" s="18">
        <f>IFERROR(AVERAGEIFS(Clean_Data!N:N,Clean_Data!D:D,A9),0)</f>
        <v>17.316666666666666</v>
      </c>
      <c r="I9" s="18">
        <f>IFERROR(AVERAGEIFS(Calc_Helper!G:G,Clean_Data!D:D,A9),0)</f>
        <v>18</v>
      </c>
      <c r="J9" s="5">
        <f ca="1">COUNTIFS(Clean_Data!D:D,A9,Calc_Helper!D:D,TRUE())</f>
        <v>8</v>
      </c>
      <c r="K9" s="5">
        <f>COUNTIFS(Clean_Data!D:D,A9,Calc_Helper!P:P,TRUE())</f>
        <v>4</v>
      </c>
      <c r="L9" s="27">
        <f t="shared" si="0"/>
        <v>0.1</v>
      </c>
      <c r="M9" s="5">
        <v>160</v>
      </c>
      <c r="N9" s="27">
        <f t="shared" si="1"/>
        <v>0.64937499999999992</v>
      </c>
      <c r="O9" s="5" t="str">
        <f t="shared" si="2"/>
        <v>Balanced</v>
      </c>
    </row>
    <row r="10" spans="1:15" x14ac:dyDescent="0.3">
      <c r="A10" s="2" t="s">
        <v>62</v>
      </c>
      <c r="B10" s="2">
        <f>COUNTIFS(Clean_Data!D:D,A10)</f>
        <v>5</v>
      </c>
      <c r="C10" s="2">
        <f>COUNTIFS(Clean_Data!D:D,A10,Clean_Data!K:K,"&lt;&gt;Completed",Clean_Data!K:K,"&lt;&gt;Cancelled")</f>
        <v>4</v>
      </c>
      <c r="D10" s="2">
        <f>COUNTIFS(Clean_Data!D:D,A10,Clean_Data!K:K,"Completed")</f>
        <v>0</v>
      </c>
      <c r="E10" s="16">
        <f>SUMIFS(Clean_Data!M:M,Clean_Data!D:D,A10)</f>
        <v>246.5</v>
      </c>
      <c r="F10" s="16">
        <f>SUMIFS(Clean_Data!N:N,Clean_Data!D:D,A10)</f>
        <v>25.2</v>
      </c>
      <c r="G10" s="16">
        <f>IFERROR(AVERAGEIFS(Clean_Data!M:M,Clean_Data!D:D,A10),0)</f>
        <v>49.3</v>
      </c>
      <c r="H10" s="16">
        <f>IFERROR(AVERAGEIFS(Clean_Data!N:N,Clean_Data!D:D,A10),0)</f>
        <v>12.6</v>
      </c>
      <c r="I10" s="16">
        <f>IFERROR(AVERAGEIFS(Calc_Helper!G:G,Clean_Data!D:D,A10),0)</f>
        <v>0</v>
      </c>
      <c r="J10" s="2">
        <f ca="1">COUNTIFS(Clean_Data!D:D,A10,Calc_Helper!D:D,TRUE())</f>
        <v>4</v>
      </c>
      <c r="K10" s="2">
        <f>COUNTIFS(Clean_Data!D:D,A10,Calc_Helper!P:P,TRUE())</f>
        <v>3</v>
      </c>
      <c r="L10" s="26">
        <f t="shared" si="0"/>
        <v>0</v>
      </c>
      <c r="M10" s="2">
        <v>160</v>
      </c>
      <c r="N10" s="26">
        <f t="shared" si="1"/>
        <v>0.1575</v>
      </c>
      <c r="O10" s="2" t="str">
        <f t="shared" si="2"/>
        <v>Underutilized</v>
      </c>
    </row>
    <row r="11" spans="1:15" x14ac:dyDescent="0.3">
      <c r="A11" s="5" t="s">
        <v>29</v>
      </c>
      <c r="B11" s="5">
        <f>COUNTIFS(Clean_Data!D:D,A11)</f>
        <v>8</v>
      </c>
      <c r="C11" s="5">
        <f>COUNTIFS(Clean_Data!D:D,A11,Clean_Data!K:K,"&lt;&gt;Completed",Clean_Data!K:K,"&lt;&gt;Cancelled")</f>
        <v>6</v>
      </c>
      <c r="D11" s="5">
        <f>COUNTIFS(Clean_Data!D:D,A11,Clean_Data!K:K,"Completed")</f>
        <v>2</v>
      </c>
      <c r="E11" s="18">
        <f>SUMIFS(Clean_Data!M:M,Clean_Data!D:D,A11)</f>
        <v>328.49999999999994</v>
      </c>
      <c r="F11" s="18">
        <f>SUMIFS(Clean_Data!N:N,Clean_Data!D:D,A11)</f>
        <v>106.30000000000001</v>
      </c>
      <c r="G11" s="18">
        <f>IFERROR(AVERAGEIFS(Clean_Data!M:M,Clean_Data!D:D,A11),0)</f>
        <v>41.062499999999993</v>
      </c>
      <c r="H11" s="18">
        <f>IFERROR(AVERAGEIFS(Clean_Data!N:N,Clean_Data!D:D,A11),0)</f>
        <v>21.26</v>
      </c>
      <c r="I11" s="18">
        <f>IFERROR(AVERAGEIFS(Calc_Helper!G:G,Clean_Data!D:D,A11),0)</f>
        <v>44</v>
      </c>
      <c r="J11" s="5">
        <f ca="1">COUNTIFS(Clean_Data!D:D,A11,Calc_Helper!D:D,TRUE())</f>
        <v>6</v>
      </c>
      <c r="K11" s="5">
        <f>COUNTIFS(Clean_Data!D:D,A11,Calc_Helper!P:P,TRUE())</f>
        <v>3</v>
      </c>
      <c r="L11" s="27">
        <f t="shared" si="0"/>
        <v>0.25</v>
      </c>
      <c r="M11" s="5">
        <v>160</v>
      </c>
      <c r="N11" s="27">
        <f t="shared" si="1"/>
        <v>0.66437500000000005</v>
      </c>
      <c r="O11" s="5" t="str">
        <f t="shared" si="2"/>
        <v>Balanced</v>
      </c>
    </row>
    <row r="12" spans="1:15" x14ac:dyDescent="0.3">
      <c r="A12" s="2" t="s">
        <v>123</v>
      </c>
      <c r="B12" s="2">
        <f>COUNTIFS(Clean_Data!D:D,A12)</f>
        <v>10</v>
      </c>
      <c r="C12" s="2">
        <f>COUNTIFS(Clean_Data!D:D,A12,Clean_Data!K:K,"&lt;&gt;Completed",Clean_Data!K:K,"&lt;&gt;Cancelled")</f>
        <v>6</v>
      </c>
      <c r="D12" s="2">
        <f>COUNTIFS(Clean_Data!D:D,A12,Clean_Data!K:K,"Completed")</f>
        <v>3</v>
      </c>
      <c r="E12" s="16">
        <f>SUMIFS(Clean_Data!M:M,Clean_Data!D:D,A12)</f>
        <v>446.8</v>
      </c>
      <c r="F12" s="16">
        <f>SUMIFS(Clean_Data!N:N,Clean_Data!D:D,A12)</f>
        <v>114.5</v>
      </c>
      <c r="G12" s="16">
        <f>IFERROR(AVERAGEIFS(Clean_Data!M:M,Clean_Data!D:D,A12),0)</f>
        <v>44.68</v>
      </c>
      <c r="H12" s="16">
        <f>IFERROR(AVERAGEIFS(Clean_Data!N:N,Clean_Data!D:D,A12),0)</f>
        <v>16.357142857142858</v>
      </c>
      <c r="I12" s="16">
        <f>IFERROR(AVERAGEIFS(Calc_Helper!G:G,Clean_Data!D:D,A12),0)</f>
        <v>38.333333333333336</v>
      </c>
      <c r="J12" s="2">
        <f ca="1">COUNTIFS(Clean_Data!D:D,A12,Calc_Helper!D:D,TRUE())</f>
        <v>6</v>
      </c>
      <c r="K12" s="2">
        <f>COUNTIFS(Clean_Data!D:D,A12,Calc_Helper!P:P,TRUE())</f>
        <v>2</v>
      </c>
      <c r="L12" s="26">
        <f t="shared" si="0"/>
        <v>0.3</v>
      </c>
      <c r="M12" s="2">
        <v>160</v>
      </c>
      <c r="N12" s="26">
        <f t="shared" si="1"/>
        <v>0.71562499999999996</v>
      </c>
      <c r="O12" s="2" t="str">
        <f t="shared" si="2"/>
        <v>Balanced</v>
      </c>
    </row>
    <row r="13" spans="1:15" x14ac:dyDescent="0.3">
      <c r="A13" s="5" t="s">
        <v>19</v>
      </c>
      <c r="B13" s="5">
        <f>COUNTIFS(Clean_Data!D:D,A13)</f>
        <v>9</v>
      </c>
      <c r="C13" s="5">
        <f>COUNTIFS(Clean_Data!D:D,A13,Clean_Data!K:K,"&lt;&gt;Completed",Clean_Data!K:K,"&lt;&gt;Cancelled")</f>
        <v>5</v>
      </c>
      <c r="D13" s="5">
        <f>COUNTIFS(Clean_Data!D:D,A13,Clean_Data!K:K,"Completed")</f>
        <v>3</v>
      </c>
      <c r="E13" s="18">
        <f>SUMIFS(Clean_Data!M:M,Clean_Data!D:D,A13)</f>
        <v>264.10000000000002</v>
      </c>
      <c r="F13" s="18">
        <f>SUMIFS(Clean_Data!N:N,Clean_Data!D:D,A13)</f>
        <v>107.2</v>
      </c>
      <c r="G13" s="18">
        <f>IFERROR(AVERAGEIFS(Clean_Data!M:M,Clean_Data!D:D,A13),0)</f>
        <v>29.344444444444449</v>
      </c>
      <c r="H13" s="18">
        <f>IFERROR(AVERAGEIFS(Clean_Data!N:N,Clean_Data!D:D,A13),0)</f>
        <v>17.866666666666667</v>
      </c>
      <c r="I13" s="18">
        <f>IFERROR(AVERAGEIFS(Calc_Helper!G:G,Clean_Data!D:D,A13),0)</f>
        <v>39.333333333333336</v>
      </c>
      <c r="J13" s="5">
        <f ca="1">COUNTIFS(Clean_Data!D:D,A13,Calc_Helper!D:D,TRUE())</f>
        <v>5</v>
      </c>
      <c r="K13" s="5">
        <f>COUNTIFS(Clean_Data!D:D,A13,Calc_Helper!P:P,TRUE())</f>
        <v>2</v>
      </c>
      <c r="L13" s="27">
        <f t="shared" si="0"/>
        <v>0.33333333333333331</v>
      </c>
      <c r="M13" s="5">
        <v>160</v>
      </c>
      <c r="N13" s="27">
        <f t="shared" si="1"/>
        <v>0.67</v>
      </c>
      <c r="O13" s="5" t="str">
        <f t="shared" si="2"/>
        <v>Balanced</v>
      </c>
    </row>
    <row r="14" spans="1:15" x14ac:dyDescent="0.3">
      <c r="A14" s="2" t="s">
        <v>86</v>
      </c>
      <c r="B14" s="2">
        <f>COUNTIFS(Clean_Data!D:D,A14)</f>
        <v>7</v>
      </c>
      <c r="C14" s="2">
        <f>COUNTIFS(Clean_Data!D:D,A14,Clean_Data!K:K,"&lt;&gt;Completed",Clean_Data!K:K,"&lt;&gt;Cancelled")</f>
        <v>3</v>
      </c>
      <c r="D14" s="2">
        <f>COUNTIFS(Clean_Data!D:D,A14,Clean_Data!K:K,"Completed")</f>
        <v>2</v>
      </c>
      <c r="E14" s="16">
        <f>SUMIFS(Clean_Data!M:M,Clean_Data!D:D,A14)</f>
        <v>275.59999999999997</v>
      </c>
      <c r="F14" s="16">
        <f>SUMIFS(Clean_Data!N:N,Clean_Data!D:D,A14)</f>
        <v>74.8</v>
      </c>
      <c r="G14" s="16">
        <f>IFERROR(AVERAGEIFS(Clean_Data!M:M,Clean_Data!D:D,A14),0)</f>
        <v>39.371428571428567</v>
      </c>
      <c r="H14" s="16">
        <f>IFERROR(AVERAGEIFS(Clean_Data!N:N,Clean_Data!D:D,A14),0)</f>
        <v>12.466666666666667</v>
      </c>
      <c r="I14" s="16">
        <f>IFERROR(AVERAGEIFS(Calc_Helper!G:G,Clean_Data!D:D,A14),0)</f>
        <v>30</v>
      </c>
      <c r="J14" s="2">
        <f ca="1">COUNTIFS(Clean_Data!D:D,A14,Calc_Helper!D:D,TRUE())</f>
        <v>3</v>
      </c>
      <c r="K14" s="2">
        <f>COUNTIFS(Clean_Data!D:D,A14,Calc_Helper!P:P,TRUE())</f>
        <v>2</v>
      </c>
      <c r="L14" s="26">
        <f t="shared" si="0"/>
        <v>0.2857142857142857</v>
      </c>
      <c r="M14" s="2">
        <v>160</v>
      </c>
      <c r="N14" s="26">
        <f t="shared" si="1"/>
        <v>0.46749999999999997</v>
      </c>
      <c r="O14" s="2" t="str">
        <f t="shared" si="2"/>
        <v>Underutilized</v>
      </c>
    </row>
    <row r="15" spans="1:15" x14ac:dyDescent="0.3">
      <c r="A15" s="5" t="s">
        <v>54</v>
      </c>
      <c r="B15" s="5">
        <f>COUNTIFS(Clean_Data!D:D,A15)</f>
        <v>7</v>
      </c>
      <c r="C15" s="5">
        <f>COUNTIFS(Clean_Data!D:D,A15,Clean_Data!K:K,"&lt;&gt;Completed",Clean_Data!K:K,"&lt;&gt;Cancelled")</f>
        <v>6</v>
      </c>
      <c r="D15" s="5">
        <f>COUNTIFS(Clean_Data!D:D,A15,Clean_Data!K:K,"Completed")</f>
        <v>0</v>
      </c>
      <c r="E15" s="18">
        <f>SUMIFS(Clean_Data!M:M,Clean_Data!D:D,A15)</f>
        <v>319.7</v>
      </c>
      <c r="F15" s="18">
        <f>SUMIFS(Clean_Data!N:N,Clean_Data!D:D,A15)</f>
        <v>6.8</v>
      </c>
      <c r="G15" s="18">
        <f>IFERROR(AVERAGEIFS(Clean_Data!M:M,Clean_Data!D:D,A15),0)</f>
        <v>45.671428571428571</v>
      </c>
      <c r="H15" s="18">
        <f>IFERROR(AVERAGEIFS(Clean_Data!N:N,Clean_Data!D:D,A15),0)</f>
        <v>2.2666666666666666</v>
      </c>
      <c r="I15" s="18">
        <f>IFERROR(AVERAGEIFS(Calc_Helper!G:G,Clean_Data!D:D,A15),0)</f>
        <v>0</v>
      </c>
      <c r="J15" s="5">
        <f ca="1">COUNTIFS(Clean_Data!D:D,A15,Calc_Helper!D:D,TRUE())</f>
        <v>6</v>
      </c>
      <c r="K15" s="5">
        <f>COUNTIFS(Clean_Data!D:D,A15,Calc_Helper!P:P,TRUE())</f>
        <v>5</v>
      </c>
      <c r="L15" s="27">
        <f t="shared" si="0"/>
        <v>0</v>
      </c>
      <c r="M15" s="5">
        <v>160</v>
      </c>
      <c r="N15" s="27">
        <f t="shared" si="1"/>
        <v>4.2499999999999996E-2</v>
      </c>
      <c r="O15" s="5" t="str">
        <f t="shared" si="2"/>
        <v>Underutilized</v>
      </c>
    </row>
    <row r="16" spans="1:15" x14ac:dyDescent="0.3">
      <c r="A16" s="2" t="s">
        <v>45</v>
      </c>
      <c r="B16" s="2">
        <f>COUNTIFS(Clean_Data!D:D,A16)</f>
        <v>9</v>
      </c>
      <c r="C16" s="2">
        <f>COUNTIFS(Clean_Data!D:D,A16,Clean_Data!K:K,"&lt;&gt;Completed",Clean_Data!K:K,"&lt;&gt;Cancelled")</f>
        <v>6</v>
      </c>
      <c r="D16" s="2">
        <f>COUNTIFS(Clean_Data!D:D,A16,Clean_Data!K:K,"Completed")</f>
        <v>2</v>
      </c>
      <c r="E16" s="16">
        <f>SUMIFS(Clean_Data!M:M,Clean_Data!D:D,A16)</f>
        <v>386.20000000000005</v>
      </c>
      <c r="F16" s="16">
        <f>SUMIFS(Clean_Data!N:N,Clean_Data!D:D,A16)</f>
        <v>152.90000000000003</v>
      </c>
      <c r="G16" s="16">
        <f>IFERROR(AVERAGEIFS(Clean_Data!M:M,Clean_Data!D:D,A16),0)</f>
        <v>42.911111111111119</v>
      </c>
      <c r="H16" s="16">
        <f>IFERROR(AVERAGEIFS(Clean_Data!N:N,Clean_Data!D:D,A16),0)</f>
        <v>25.483333333333338</v>
      </c>
      <c r="I16" s="16">
        <f>IFERROR(AVERAGEIFS(Calc_Helper!G:G,Clean_Data!D:D,A16),0)</f>
        <v>46.5</v>
      </c>
      <c r="J16" s="2">
        <f ca="1">COUNTIFS(Clean_Data!D:D,A16,Calc_Helper!D:D,TRUE())</f>
        <v>6</v>
      </c>
      <c r="K16" s="2">
        <f>COUNTIFS(Clean_Data!D:D,A16,Calc_Helper!P:P,TRUE())</f>
        <v>3</v>
      </c>
      <c r="L16" s="26">
        <f t="shared" si="0"/>
        <v>0.22222222222222221</v>
      </c>
      <c r="M16" s="2">
        <v>160</v>
      </c>
      <c r="N16" s="26">
        <f t="shared" si="1"/>
        <v>0.95562500000000017</v>
      </c>
      <c r="O16" s="2" t="str">
        <f t="shared" si="2"/>
        <v>High</v>
      </c>
    </row>
  </sheetData>
  <conditionalFormatting sqref="O2:O16">
    <cfRule type="cellIs" dxfId="14" priority="2" operator="equal">
      <formula>"Overloaded"</formula>
    </cfRule>
    <cfRule type="cellIs" dxfId="13" priority="3" operator="equal">
      <formula>"Balanced"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F30"/>
  <sheetViews>
    <sheetView zoomScale="78" zoomScaleNormal="100" workbookViewId="0">
      <selection activeCell="B17" sqref="B17"/>
    </sheetView>
  </sheetViews>
  <sheetFormatPr defaultColWidth="8.6640625" defaultRowHeight="14.4" x14ac:dyDescent="0.3"/>
  <cols>
    <col min="1" max="2" width="28" customWidth="1"/>
    <col min="5" max="6" width="28" customWidth="1"/>
  </cols>
  <sheetData>
    <row r="1" spans="1:6" ht="39.75" customHeight="1" x14ac:dyDescent="0.3">
      <c r="A1" s="25" t="s">
        <v>377</v>
      </c>
      <c r="B1" s="25"/>
      <c r="C1" s="25"/>
      <c r="D1" s="25"/>
      <c r="E1" s="25"/>
      <c r="F1" s="25"/>
    </row>
    <row r="3" spans="1:6" ht="17.399999999999999" x14ac:dyDescent="0.3">
      <c r="A3" s="21" t="s">
        <v>378</v>
      </c>
      <c r="B3" s="22">
        <f>COUNTA(tblPivotData[Task ID])</f>
        <v>120</v>
      </c>
      <c r="E3" s="21" t="s">
        <v>355</v>
      </c>
      <c r="F3" s="22">
        <f>SUM(tblPivotData[Is_Completed_Num])</f>
        <v>28</v>
      </c>
    </row>
    <row r="6" spans="1:6" ht="17.399999999999999" x14ac:dyDescent="0.3">
      <c r="A6" s="21" t="s">
        <v>379</v>
      </c>
      <c r="B6" s="22">
        <f>SUM(tblPivotData[Is_Pending_Num])</f>
        <v>77</v>
      </c>
      <c r="E6" s="21" t="s">
        <v>380</v>
      </c>
      <c r="F6" s="22">
        <f ca="1">SUM(tblPivotData[Is_Delayed_Num])</f>
        <v>77</v>
      </c>
    </row>
    <row r="9" spans="1:6" ht="17.399999999999999" x14ac:dyDescent="0.3">
      <c r="A9" s="21" t="s">
        <v>381</v>
      </c>
      <c r="B9" s="23">
        <f>IFERROR(SUM(tblPivotData[Is_Completed_Num])/COUNTA(tblPivotData[Task ID]),0)</f>
        <v>0.23333333333333334</v>
      </c>
      <c r="E9" s="21" t="s">
        <v>382</v>
      </c>
      <c r="F9" s="24">
        <f>IFERROR(AVERAGEIFS(tblPivotData[Cycle_Time_Days],tblPivotData[Is_Completed_Num],1,tblPivotData[Cycle_Time_Days],"&lt;&gt;0"),0)</f>
        <v>35.035714285714285</v>
      </c>
    </row>
    <row r="12" spans="1:6" ht="17.399999999999999" x14ac:dyDescent="0.3">
      <c r="A12" s="21" t="s">
        <v>362</v>
      </c>
      <c r="B12" s="22">
        <f>COUNTIFS(tblPivotData[Priority],"High")+COUNTIFS(tblPivotData[Priority],"Critical")</f>
        <v>72</v>
      </c>
      <c r="E12" s="21" t="s">
        <v>383</v>
      </c>
      <c r="F12" s="22">
        <f ca="1">SUM(tblPivotData[Overdue_Flag_Num])</f>
        <v>77</v>
      </c>
    </row>
    <row r="15" spans="1:6" ht="17.399999999999999" x14ac:dyDescent="0.3">
      <c r="A15" s="21" t="s">
        <v>384</v>
      </c>
      <c r="B15" s="23">
        <f>IFERROR(SUM(tblPivotData[On_Time_Flag_Num])/SUM(tblPivotData[Is_Completed_Num]),0)</f>
        <v>0.2857142857142857</v>
      </c>
      <c r="E15" s="21" t="s">
        <v>385</v>
      </c>
      <c r="F15" s="24">
        <f>IFERROR(AVERAGEIFS(tblPivotData[Variance],tblPivotData[Variance],"&lt;&gt;0"),0)</f>
        <v>-19.905405405405403</v>
      </c>
    </row>
    <row r="18" spans="1:6" ht="17.399999999999999" x14ac:dyDescent="0.3">
      <c r="A18" s="21" t="s">
        <v>386</v>
      </c>
      <c r="B18" s="22">
        <f ca="1">COUNTIFS(tblPivotData[Due_Month],TEXT(TODAY(),"YYYY-MM"))</f>
        <v>0</v>
      </c>
      <c r="E18" s="21" t="s">
        <v>387</v>
      </c>
      <c r="F18" s="22">
        <f ca="1">COUNTIFS(tblPivotData[Completion_Month],TEXT(TODAY(),"YYYY-MM"))</f>
        <v>0</v>
      </c>
    </row>
    <row r="21" spans="1:6" ht="17.399999999999999" x14ac:dyDescent="0.3">
      <c r="A21" s="21" t="s">
        <v>388</v>
      </c>
      <c r="B21" s="22">
        <f>SUM(tblPivotData[High_Priority_Open_Flag_Num])</f>
        <v>42</v>
      </c>
      <c r="E21" s="21" t="s">
        <v>389</v>
      </c>
      <c r="F21" s="22">
        <f ca="1">SUM(tblPivotData[SLA_Breach_Flag_Num])</f>
        <v>42</v>
      </c>
    </row>
    <row r="24" spans="1:6" ht="17.399999999999999" x14ac:dyDescent="0.3">
      <c r="A24" s="21" t="s">
        <v>390</v>
      </c>
      <c r="B24" s="22">
        <f ca="1">SUM(tblPivotData[Stale_In_Progress_Flag_Num])</f>
        <v>30</v>
      </c>
      <c r="E24" s="21" t="s">
        <v>391</v>
      </c>
      <c r="F24" s="24">
        <f ca="1">IFERROR(AVERAGEIFS(tblPivotData[Days_Open],tblPivotData[Days_Open],"&lt;&gt;0"),0)</f>
        <v>626.4545454545455</v>
      </c>
    </row>
    <row r="27" spans="1:6" ht="17.399999999999999" x14ac:dyDescent="0.3">
      <c r="A27" s="21" t="s">
        <v>392</v>
      </c>
      <c r="B27" s="24">
        <f>IFERROR(AVERAGEIFS(tblPivotData[Cycle_Time_Days],tblPivotData[Cycle_Time_Days],"&lt;&gt;0"),0)</f>
        <v>35.035714285714285</v>
      </c>
      <c r="E27" s="21" t="s">
        <v>393</v>
      </c>
      <c r="F27" s="24">
        <f>SUM(tblPivotData[Estimated Hours])</f>
        <v>4997.7999999999993</v>
      </c>
    </row>
    <row r="30" spans="1:6" ht="17.399999999999999" x14ac:dyDescent="0.3">
      <c r="A30" s="21" t="s">
        <v>394</v>
      </c>
      <c r="B30" s="24">
        <f>SUM(tblPivotData[Actual Hours])</f>
        <v>1625.8999999999994</v>
      </c>
      <c r="E30" s="21" t="s">
        <v>395</v>
      </c>
      <c r="F30" s="22">
        <f>IFERROR(COUNTIFS(tblPivotData[Productivity_Flag],"Healthy")+COUNTIFS(tblPivotData[Productivity_Flag],"On Track"),0)</f>
        <v>28</v>
      </c>
    </row>
  </sheetData>
  <mergeCells count="1">
    <mergeCell ref="A1:F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4254-BA0A-41A3-BF92-21997910E8BC}">
  <sheetPr>
    <tabColor rgb="FF70AD47"/>
  </sheetPr>
  <dimension ref="A1:G47"/>
  <sheetViews>
    <sheetView workbookViewId="0"/>
  </sheetViews>
  <sheetFormatPr defaultRowHeight="14.4" x14ac:dyDescent="0.3"/>
  <cols>
    <col min="1" max="1" width="22.44140625" bestFit="1" customWidth="1"/>
    <col min="2" max="2" width="15.5546875" bestFit="1" customWidth="1"/>
    <col min="3" max="4" width="10.21875" bestFit="1" customWidth="1"/>
    <col min="5" max="5" width="10.6640625" bestFit="1" customWidth="1"/>
    <col min="6" max="6" width="7.77734375" bestFit="1" customWidth="1"/>
    <col min="7" max="7" width="10.77734375" bestFit="1" customWidth="1"/>
  </cols>
  <sheetData>
    <row r="1" spans="1:7" x14ac:dyDescent="0.3">
      <c r="A1" s="28" t="s">
        <v>415</v>
      </c>
      <c r="B1" t="s">
        <v>417</v>
      </c>
    </row>
    <row r="2" spans="1:7" x14ac:dyDescent="0.3">
      <c r="A2" s="29" t="s">
        <v>118</v>
      </c>
      <c r="B2" s="30">
        <v>15</v>
      </c>
    </row>
    <row r="3" spans="1:7" x14ac:dyDescent="0.3">
      <c r="A3" s="29" t="s">
        <v>152</v>
      </c>
      <c r="B3" s="30">
        <v>28</v>
      </c>
    </row>
    <row r="4" spans="1:7" x14ac:dyDescent="0.3">
      <c r="A4" s="29" t="s">
        <v>73</v>
      </c>
      <c r="B4" s="30">
        <v>30</v>
      </c>
    </row>
    <row r="5" spans="1:7" x14ac:dyDescent="0.3">
      <c r="A5" s="29" t="s">
        <v>193</v>
      </c>
      <c r="B5" s="30">
        <v>22</v>
      </c>
    </row>
    <row r="6" spans="1:7" x14ac:dyDescent="0.3">
      <c r="A6" s="29" t="s">
        <v>40</v>
      </c>
      <c r="B6" s="30">
        <v>25</v>
      </c>
    </row>
    <row r="7" spans="1:7" x14ac:dyDescent="0.3">
      <c r="A7" s="29" t="s">
        <v>416</v>
      </c>
      <c r="B7" s="30">
        <v>120</v>
      </c>
    </row>
    <row r="12" spans="1:7" x14ac:dyDescent="0.3">
      <c r="A12" s="28" t="s">
        <v>417</v>
      </c>
      <c r="B12" s="28" t="s">
        <v>418</v>
      </c>
    </row>
    <row r="13" spans="1:7" x14ac:dyDescent="0.3">
      <c r="A13" s="28" t="s">
        <v>415</v>
      </c>
      <c r="B13" t="s">
        <v>118</v>
      </c>
      <c r="C13" t="s">
        <v>152</v>
      </c>
      <c r="D13" t="s">
        <v>73</v>
      </c>
      <c r="E13" t="s">
        <v>193</v>
      </c>
      <c r="F13" t="s">
        <v>40</v>
      </c>
      <c r="G13" t="s">
        <v>416</v>
      </c>
    </row>
    <row r="14" spans="1:7" x14ac:dyDescent="0.3">
      <c r="A14" s="29" t="s">
        <v>44</v>
      </c>
      <c r="B14" s="30">
        <v>3</v>
      </c>
      <c r="C14" s="30">
        <v>5</v>
      </c>
      <c r="D14" s="30">
        <v>6</v>
      </c>
      <c r="E14" s="30">
        <v>1</v>
      </c>
      <c r="F14" s="30">
        <v>3</v>
      </c>
      <c r="G14" s="30">
        <v>18</v>
      </c>
    </row>
    <row r="15" spans="1:7" x14ac:dyDescent="0.3">
      <c r="A15" s="29" t="s">
        <v>85</v>
      </c>
      <c r="B15" s="30">
        <v>2</v>
      </c>
      <c r="C15" s="30">
        <v>2</v>
      </c>
      <c r="D15" s="30">
        <v>7</v>
      </c>
      <c r="E15" s="30">
        <v>9</v>
      </c>
      <c r="F15" s="30">
        <v>7</v>
      </c>
      <c r="G15" s="30">
        <v>27</v>
      </c>
    </row>
    <row r="16" spans="1:7" x14ac:dyDescent="0.3">
      <c r="A16" s="29" t="s">
        <v>18</v>
      </c>
      <c r="B16" s="30">
        <v>4</v>
      </c>
      <c r="C16" s="30">
        <v>10</v>
      </c>
      <c r="D16" s="30">
        <v>3</v>
      </c>
      <c r="E16" s="30">
        <v>3</v>
      </c>
      <c r="F16" s="30">
        <v>2</v>
      </c>
      <c r="G16" s="30">
        <v>22</v>
      </c>
    </row>
    <row r="17" spans="1:7" x14ac:dyDescent="0.3">
      <c r="A17" s="29" t="s">
        <v>143</v>
      </c>
      <c r="B17" s="30">
        <v>1</v>
      </c>
      <c r="C17" s="30">
        <v>4</v>
      </c>
      <c r="D17" s="30">
        <v>4</v>
      </c>
      <c r="E17" s="30">
        <v>2</v>
      </c>
      <c r="F17" s="30">
        <v>4</v>
      </c>
      <c r="G17" s="30">
        <v>15</v>
      </c>
    </row>
    <row r="18" spans="1:7" x14ac:dyDescent="0.3">
      <c r="A18" s="29" t="s">
        <v>184</v>
      </c>
      <c r="B18" s="30">
        <v>1</v>
      </c>
      <c r="C18" s="30">
        <v>5</v>
      </c>
      <c r="D18" s="30">
        <v>6</v>
      </c>
      <c r="E18" s="30">
        <v>4</v>
      </c>
      <c r="F18" s="30">
        <v>1</v>
      </c>
      <c r="G18" s="30">
        <v>17</v>
      </c>
    </row>
    <row r="19" spans="1:7" x14ac:dyDescent="0.3">
      <c r="A19" s="29" t="s">
        <v>137</v>
      </c>
      <c r="B19" s="30">
        <v>4</v>
      </c>
      <c r="C19" s="30">
        <v>2</v>
      </c>
      <c r="D19" s="30">
        <v>4</v>
      </c>
      <c r="E19" s="30">
        <v>3</v>
      </c>
      <c r="F19" s="30">
        <v>8</v>
      </c>
      <c r="G19" s="30">
        <v>21</v>
      </c>
    </row>
    <row r="20" spans="1:7" x14ac:dyDescent="0.3">
      <c r="A20" s="29" t="s">
        <v>416</v>
      </c>
      <c r="B20" s="30">
        <v>15</v>
      </c>
      <c r="C20" s="30">
        <v>28</v>
      </c>
      <c r="D20" s="30">
        <v>30</v>
      </c>
      <c r="E20" s="30">
        <v>22</v>
      </c>
      <c r="F20" s="30">
        <v>25</v>
      </c>
      <c r="G20" s="30">
        <v>120</v>
      </c>
    </row>
    <row r="25" spans="1:7" x14ac:dyDescent="0.3">
      <c r="A25" s="28" t="s">
        <v>415</v>
      </c>
      <c r="B25" t="s">
        <v>417</v>
      </c>
    </row>
    <row r="26" spans="1:7" x14ac:dyDescent="0.3">
      <c r="A26" s="29" t="s">
        <v>80</v>
      </c>
      <c r="B26" s="30">
        <v>29</v>
      </c>
    </row>
    <row r="27" spans="1:7" x14ac:dyDescent="0.3">
      <c r="A27" s="29" t="s">
        <v>121</v>
      </c>
      <c r="B27" s="30">
        <v>43</v>
      </c>
    </row>
    <row r="28" spans="1:7" x14ac:dyDescent="0.3">
      <c r="A28" s="29" t="s">
        <v>31</v>
      </c>
      <c r="B28" s="30">
        <v>21</v>
      </c>
    </row>
    <row r="29" spans="1:7" x14ac:dyDescent="0.3">
      <c r="A29" s="29" t="s">
        <v>151</v>
      </c>
      <c r="B29" s="30">
        <v>27</v>
      </c>
    </row>
    <row r="30" spans="1:7" x14ac:dyDescent="0.3">
      <c r="A30" s="29" t="s">
        <v>416</v>
      </c>
      <c r="B30" s="30">
        <v>120</v>
      </c>
    </row>
    <row r="35" spans="1:7" x14ac:dyDescent="0.3">
      <c r="A35" s="28" t="s">
        <v>417</v>
      </c>
      <c r="B35" s="28" t="s">
        <v>418</v>
      </c>
    </row>
    <row r="36" spans="1:7" x14ac:dyDescent="0.3">
      <c r="A36" s="28" t="s">
        <v>415</v>
      </c>
      <c r="B36" t="s">
        <v>118</v>
      </c>
      <c r="C36" t="s">
        <v>152</v>
      </c>
      <c r="D36" t="s">
        <v>73</v>
      </c>
      <c r="E36" t="s">
        <v>193</v>
      </c>
      <c r="F36" t="s">
        <v>40</v>
      </c>
      <c r="G36" t="s">
        <v>416</v>
      </c>
    </row>
    <row r="37" spans="1:7" x14ac:dyDescent="0.3">
      <c r="A37" s="29" t="s">
        <v>77</v>
      </c>
      <c r="B37" s="30">
        <v>3</v>
      </c>
      <c r="C37" s="30">
        <v>3</v>
      </c>
      <c r="D37" s="30">
        <v>4</v>
      </c>
      <c r="E37" s="30"/>
      <c r="F37" s="30">
        <v>1</v>
      </c>
      <c r="G37" s="30">
        <v>11</v>
      </c>
    </row>
    <row r="38" spans="1:7" x14ac:dyDescent="0.3">
      <c r="A38" s="29" t="s">
        <v>17</v>
      </c>
      <c r="B38" s="30">
        <v>3</v>
      </c>
      <c r="C38" s="30">
        <v>5</v>
      </c>
      <c r="D38" s="30">
        <v>2</v>
      </c>
      <c r="E38" s="30">
        <v>2</v>
      </c>
      <c r="F38" s="30">
        <v>2</v>
      </c>
      <c r="G38" s="30">
        <v>14</v>
      </c>
    </row>
    <row r="39" spans="1:7" x14ac:dyDescent="0.3">
      <c r="A39" s="29" t="s">
        <v>43</v>
      </c>
      <c r="B39" s="30">
        <v>1</v>
      </c>
      <c r="C39" s="30">
        <v>1</v>
      </c>
      <c r="D39" s="30"/>
      <c r="E39" s="30">
        <v>5</v>
      </c>
      <c r="F39" s="30">
        <v>1</v>
      </c>
      <c r="G39" s="30">
        <v>8</v>
      </c>
    </row>
    <row r="40" spans="1:7" x14ac:dyDescent="0.3">
      <c r="A40" s="29" t="s">
        <v>52</v>
      </c>
      <c r="B40" s="30"/>
      <c r="C40" s="30">
        <v>3</v>
      </c>
      <c r="D40" s="30">
        <v>1</v>
      </c>
      <c r="E40" s="30">
        <v>1</v>
      </c>
      <c r="F40" s="30">
        <v>4</v>
      </c>
      <c r="G40" s="30">
        <v>9</v>
      </c>
    </row>
    <row r="41" spans="1:7" x14ac:dyDescent="0.3">
      <c r="A41" s="29" t="s">
        <v>142</v>
      </c>
      <c r="B41" s="30"/>
      <c r="C41" s="30">
        <v>1</v>
      </c>
      <c r="D41" s="30">
        <v>1</v>
      </c>
      <c r="E41" s="30"/>
      <c r="F41" s="30">
        <v>2</v>
      </c>
      <c r="G41" s="30">
        <v>4</v>
      </c>
    </row>
    <row r="42" spans="1:7" x14ac:dyDescent="0.3">
      <c r="A42" s="29" t="s">
        <v>35</v>
      </c>
      <c r="B42" s="30">
        <v>2</v>
      </c>
      <c r="C42" s="30">
        <v>1</v>
      </c>
      <c r="D42" s="30">
        <v>3</v>
      </c>
      <c r="E42" s="30">
        <v>2</v>
      </c>
      <c r="F42" s="30">
        <v>5</v>
      </c>
      <c r="G42" s="30">
        <v>13</v>
      </c>
    </row>
    <row r="43" spans="1:7" x14ac:dyDescent="0.3">
      <c r="A43" s="29" t="s">
        <v>69</v>
      </c>
      <c r="B43" s="30"/>
      <c r="C43" s="30">
        <v>7</v>
      </c>
      <c r="D43" s="30">
        <v>1</v>
      </c>
      <c r="E43" s="30">
        <v>3</v>
      </c>
      <c r="F43" s="30">
        <v>6</v>
      </c>
      <c r="G43" s="30">
        <v>17</v>
      </c>
    </row>
    <row r="44" spans="1:7" x14ac:dyDescent="0.3">
      <c r="A44" s="29" t="s">
        <v>27</v>
      </c>
      <c r="B44" s="30">
        <v>1</v>
      </c>
      <c r="C44" s="30">
        <v>4</v>
      </c>
      <c r="D44" s="30">
        <v>6</v>
      </c>
      <c r="E44" s="30">
        <v>5</v>
      </c>
      <c r="F44" s="30">
        <v>3</v>
      </c>
      <c r="G44" s="30">
        <v>19</v>
      </c>
    </row>
    <row r="45" spans="1:7" x14ac:dyDescent="0.3">
      <c r="A45" s="29" t="s">
        <v>90</v>
      </c>
      <c r="B45" s="30">
        <v>3</v>
      </c>
      <c r="C45" s="30">
        <v>2</v>
      </c>
      <c r="D45" s="30">
        <v>6</v>
      </c>
      <c r="E45" s="30">
        <v>2</v>
      </c>
      <c r="F45" s="30"/>
      <c r="G45" s="30">
        <v>13</v>
      </c>
    </row>
    <row r="46" spans="1:7" x14ac:dyDescent="0.3">
      <c r="A46" s="29" t="s">
        <v>113</v>
      </c>
      <c r="B46" s="30">
        <v>2</v>
      </c>
      <c r="C46" s="30">
        <v>1</v>
      </c>
      <c r="D46" s="30">
        <v>6</v>
      </c>
      <c r="E46" s="30">
        <v>2</v>
      </c>
      <c r="F46" s="30">
        <v>1</v>
      </c>
      <c r="G46" s="30">
        <v>12</v>
      </c>
    </row>
    <row r="47" spans="1:7" x14ac:dyDescent="0.3">
      <c r="A47" s="29" t="s">
        <v>416</v>
      </c>
      <c r="B47" s="30">
        <v>15</v>
      </c>
      <c r="C47" s="30">
        <v>28</v>
      </c>
      <c r="D47" s="30">
        <v>30</v>
      </c>
      <c r="E47" s="30">
        <v>22</v>
      </c>
      <c r="F47" s="30">
        <v>25</v>
      </c>
      <c r="G47" s="30">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J200"/>
  <sheetViews>
    <sheetView tabSelected="1" zoomScale="58" zoomScaleNormal="55" workbookViewId="0">
      <selection activeCell="R19" sqref="R19"/>
    </sheetView>
  </sheetViews>
  <sheetFormatPr defaultColWidth="8.6640625" defaultRowHeight="14.4" x14ac:dyDescent="0.3"/>
  <cols>
    <col min="1" max="6" width="20.33203125" customWidth="1"/>
    <col min="7" max="8" width="22.21875" customWidth="1"/>
    <col min="9" max="10" width="20.33203125" customWidth="1"/>
  </cols>
  <sheetData>
    <row r="1" spans="1:10" ht="43.95" customHeight="1" x14ac:dyDescent="0.3">
      <c r="A1" s="32" t="s">
        <v>419</v>
      </c>
      <c r="B1" s="32"/>
      <c r="C1" s="32"/>
      <c r="D1" s="32"/>
      <c r="E1" s="32"/>
      <c r="F1" s="59"/>
      <c r="G1" s="32"/>
      <c r="H1" s="32"/>
      <c r="I1" s="32"/>
      <c r="J1" s="32"/>
    </row>
    <row r="2" spans="1:10" ht="19.95" customHeight="1" thickBot="1" x14ac:dyDescent="0.35">
      <c r="A2" s="34" t="s">
        <v>422</v>
      </c>
      <c r="B2" s="33"/>
      <c r="C2" s="33"/>
      <c r="D2" s="33"/>
      <c r="E2" s="33"/>
      <c r="F2" s="60"/>
      <c r="G2" s="35" t="str">
        <f ca="1">"Last updated: "&amp;TEXT(TODAY(),"dd-mmm-yyyy")</f>
        <v>Last updated: 14-Apr-2026</v>
      </c>
      <c r="H2" s="31"/>
      <c r="I2" s="31"/>
      <c r="J2" s="31"/>
    </row>
    <row r="3" spans="1:10" ht="18" customHeight="1" thickTop="1" x14ac:dyDescent="0.3">
      <c r="A3" s="38" t="s">
        <v>423</v>
      </c>
      <c r="B3" s="41"/>
      <c r="C3" s="42" t="s">
        <v>23</v>
      </c>
      <c r="D3" s="44"/>
      <c r="E3" s="45" t="s">
        <v>65</v>
      </c>
      <c r="F3" s="61"/>
      <c r="G3" s="57" t="s">
        <v>424</v>
      </c>
      <c r="H3" s="47"/>
      <c r="I3" s="48" t="s">
        <v>425</v>
      </c>
      <c r="J3" s="49"/>
    </row>
    <row r="4" spans="1:10" ht="42" customHeight="1" x14ac:dyDescent="0.3">
      <c r="A4" s="37">
        <f>KPI_Summary!B3</f>
        <v>120</v>
      </c>
      <c r="B4" s="36"/>
      <c r="C4" s="40">
        <f>KPI_Summary!F3</f>
        <v>28</v>
      </c>
      <c r="D4" s="39"/>
      <c r="E4" s="43">
        <f>COUNTIF(tblPivotData[Task Status],"In Progress")</f>
        <v>30</v>
      </c>
      <c r="F4" s="62"/>
      <c r="G4" s="58">
        <f ca="1">KPI_Summary!F12</f>
        <v>77</v>
      </c>
      <c r="H4" s="46"/>
      <c r="I4" s="70">
        <f>KPI_Summary!B9</f>
        <v>0.23333333333333334</v>
      </c>
      <c r="J4" s="71"/>
    </row>
    <row r="5" spans="1:10" ht="13.95" customHeight="1" x14ac:dyDescent="0.3">
      <c r="A5" s="51" t="str">
        <f>"High Priority: "&amp;KPI_Summary!B12</f>
        <v>High Priority: 72</v>
      </c>
      <c r="B5" s="50"/>
      <c r="C5" s="52" t="str">
        <f>"On-Time: "&amp;TEXT(KPI_Summary!B15,"0.0%")</f>
        <v>On-Time: 28.6%</v>
      </c>
      <c r="D5" s="50"/>
      <c r="E5" s="53" t="str">
        <f>"Avg Cycle: "&amp;ROUND(KPI_Summary!B27,1)&amp;" days"</f>
        <v>Avg Cycle: 35 days</v>
      </c>
      <c r="F5" s="63"/>
      <c r="G5" s="54" t="str">
        <f ca="1">"SLA Breaches: "&amp;KPI_Summary!F21</f>
        <v>SLA Breaches: 42</v>
      </c>
      <c r="H5" s="50"/>
      <c r="I5" s="72" t="str">
        <f ca="1">"Stale Tasks: "&amp;KPI_Summary!B24</f>
        <v>Stale Tasks: 30</v>
      </c>
      <c r="J5" s="73"/>
    </row>
    <row r="6" spans="1:10" ht="22.05" customHeight="1" x14ac:dyDescent="0.3">
      <c r="A6" s="55" t="s">
        <v>426</v>
      </c>
      <c r="B6" s="33"/>
      <c r="C6" s="33"/>
      <c r="D6" s="33"/>
      <c r="E6" s="33"/>
      <c r="F6" s="60"/>
      <c r="G6" s="56" t="s">
        <v>427</v>
      </c>
      <c r="H6" s="31"/>
      <c r="I6" s="31"/>
      <c r="J6" s="31"/>
    </row>
    <row r="7" spans="1:10" x14ac:dyDescent="0.3">
      <c r="A7" s="65"/>
      <c r="B7" s="65"/>
      <c r="C7" s="65"/>
      <c r="D7" s="65"/>
      <c r="E7" s="65"/>
      <c r="F7" s="66"/>
      <c r="G7" s="67" t="s">
        <v>396</v>
      </c>
      <c r="H7" s="67" t="s">
        <v>397</v>
      </c>
      <c r="I7" s="68"/>
      <c r="J7" s="68"/>
    </row>
    <row r="8" spans="1:10" x14ac:dyDescent="0.3">
      <c r="A8" s="65"/>
      <c r="B8" s="65"/>
      <c r="C8" s="65"/>
      <c r="D8" s="65"/>
      <c r="E8" s="65"/>
      <c r="F8" s="66"/>
      <c r="G8" s="68" t="s">
        <v>152</v>
      </c>
      <c r="H8" s="68">
        <f>COUNTIFS(tblPivotData[Task Status],G8)</f>
        <v>28</v>
      </c>
      <c r="I8" s="68"/>
      <c r="J8" s="68"/>
    </row>
    <row r="9" spans="1:10" x14ac:dyDescent="0.3">
      <c r="A9" s="65"/>
      <c r="B9" s="65"/>
      <c r="C9" s="65"/>
      <c r="D9" s="65"/>
      <c r="E9" s="65"/>
      <c r="F9" s="66"/>
      <c r="G9" s="68" t="s">
        <v>73</v>
      </c>
      <c r="H9" s="68">
        <f>COUNTIFS(tblPivotData[Task Status],G9)</f>
        <v>30</v>
      </c>
      <c r="I9" s="68"/>
      <c r="J9" s="68"/>
    </row>
    <row r="10" spans="1:10" x14ac:dyDescent="0.3">
      <c r="A10" s="65"/>
      <c r="B10" s="65"/>
      <c r="C10" s="65"/>
      <c r="D10" s="65"/>
      <c r="E10" s="65"/>
      <c r="F10" s="66"/>
      <c r="G10" s="68" t="s">
        <v>193</v>
      </c>
      <c r="H10" s="68">
        <f>COUNTIFS(tblPivotData[Task Status],G10)</f>
        <v>22</v>
      </c>
      <c r="I10" s="68"/>
      <c r="J10" s="68"/>
    </row>
    <row r="11" spans="1:10" ht="49.5" customHeight="1" x14ac:dyDescent="0.3">
      <c r="A11" s="65"/>
      <c r="B11" s="65"/>
      <c r="C11" s="65"/>
      <c r="D11" s="65"/>
      <c r="E11" s="65"/>
      <c r="F11" s="66"/>
      <c r="G11" s="68" t="s">
        <v>40</v>
      </c>
      <c r="H11" s="68">
        <f>COUNTIFS(tblPivotData[Task Status],G11)</f>
        <v>25</v>
      </c>
      <c r="I11" s="68"/>
      <c r="J11" s="68"/>
    </row>
    <row r="12" spans="1:10" x14ac:dyDescent="0.3">
      <c r="A12" s="65"/>
      <c r="B12" s="65"/>
      <c r="C12" s="65"/>
      <c r="D12" s="65"/>
      <c r="E12" s="65"/>
      <c r="F12" s="66"/>
      <c r="G12" s="68" t="s">
        <v>118</v>
      </c>
      <c r="H12" s="68">
        <f>COUNTIFS(tblPivotData[Task Status],G12)</f>
        <v>15</v>
      </c>
      <c r="I12" s="68"/>
      <c r="J12" s="68"/>
    </row>
    <row r="13" spans="1:10" x14ac:dyDescent="0.3">
      <c r="A13" s="65"/>
      <c r="B13" s="65"/>
      <c r="C13" s="65"/>
      <c r="D13" s="65"/>
      <c r="E13" s="65"/>
      <c r="F13" s="66"/>
      <c r="G13" s="68"/>
      <c r="H13" s="68"/>
      <c r="I13" s="68"/>
      <c r="J13" s="68"/>
    </row>
    <row r="14" spans="1:10" x14ac:dyDescent="0.3">
      <c r="A14" s="65"/>
      <c r="B14" s="65"/>
      <c r="C14" s="65"/>
      <c r="D14" s="65"/>
      <c r="E14" s="65"/>
      <c r="F14" s="66"/>
      <c r="G14" s="68"/>
      <c r="H14" s="68"/>
      <c r="I14" s="68"/>
      <c r="J14" s="68"/>
    </row>
    <row r="15" spans="1:10" x14ac:dyDescent="0.3">
      <c r="A15" s="65"/>
      <c r="B15" s="65"/>
      <c r="C15" s="65"/>
      <c r="D15" s="65"/>
      <c r="E15" s="65"/>
      <c r="F15" s="66"/>
      <c r="G15" s="67" t="s">
        <v>2</v>
      </c>
      <c r="H15" s="67" t="s">
        <v>420</v>
      </c>
      <c r="I15" s="68"/>
      <c r="J15" s="68"/>
    </row>
    <row r="16" spans="1:10" x14ac:dyDescent="0.3">
      <c r="A16" s="65"/>
      <c r="B16" s="65"/>
      <c r="C16" s="65"/>
      <c r="D16" s="65"/>
      <c r="E16" s="65"/>
      <c r="F16" s="66"/>
      <c r="G16" s="68" t="s">
        <v>18</v>
      </c>
      <c r="H16" s="68">
        <f>COUNTIFS(tblPivotData[Department],G16)</f>
        <v>22</v>
      </c>
      <c r="I16" s="68"/>
      <c r="J16" s="68"/>
    </row>
    <row r="17" spans="1:10" x14ac:dyDescent="0.3">
      <c r="A17" s="65"/>
      <c r="B17" s="65"/>
      <c r="C17" s="65"/>
      <c r="D17" s="65"/>
      <c r="E17" s="65"/>
      <c r="F17" s="66"/>
      <c r="G17" s="68" t="s">
        <v>44</v>
      </c>
      <c r="H17" s="68">
        <f>COUNTIFS(tblPivotData[Department],G17)</f>
        <v>18</v>
      </c>
      <c r="I17" s="68"/>
      <c r="J17" s="68"/>
    </row>
    <row r="18" spans="1:10" x14ac:dyDescent="0.3">
      <c r="A18" s="65"/>
      <c r="B18" s="65"/>
      <c r="C18" s="65"/>
      <c r="D18" s="65"/>
      <c r="E18" s="65"/>
      <c r="F18" s="66"/>
      <c r="G18" s="68" t="s">
        <v>143</v>
      </c>
      <c r="H18" s="68">
        <f>COUNTIFS(tblPivotData[Department],G18)</f>
        <v>15</v>
      </c>
      <c r="I18" s="68"/>
      <c r="J18" s="68"/>
    </row>
    <row r="19" spans="1:10" x14ac:dyDescent="0.3">
      <c r="A19" s="65"/>
      <c r="B19" s="65"/>
      <c r="C19" s="65"/>
      <c r="D19" s="65"/>
      <c r="E19" s="65"/>
      <c r="F19" s="66"/>
      <c r="G19" s="68" t="s">
        <v>85</v>
      </c>
      <c r="H19" s="68">
        <f>COUNTIFS(tblPivotData[Department],G19)</f>
        <v>27</v>
      </c>
      <c r="I19" s="68"/>
      <c r="J19" s="68"/>
    </row>
    <row r="20" spans="1:10" x14ac:dyDescent="0.3">
      <c r="A20" s="65"/>
      <c r="B20" s="65"/>
      <c r="C20" s="65"/>
      <c r="D20" s="65"/>
      <c r="E20" s="65"/>
      <c r="F20" s="66"/>
      <c r="G20" s="68" t="s">
        <v>184</v>
      </c>
      <c r="H20" s="68">
        <f>COUNTIFS(tblPivotData[Department],G20)</f>
        <v>17</v>
      </c>
      <c r="I20" s="68"/>
      <c r="J20" s="68"/>
    </row>
    <row r="21" spans="1:10" x14ac:dyDescent="0.3">
      <c r="A21" s="65"/>
      <c r="B21" s="65"/>
      <c r="C21" s="65"/>
      <c r="D21" s="65"/>
      <c r="E21" s="65"/>
      <c r="F21" s="66"/>
      <c r="G21" s="68" t="s">
        <v>137</v>
      </c>
      <c r="H21" s="68">
        <f>COUNTIFS(tblPivotData[Department],G21)</f>
        <v>21</v>
      </c>
      <c r="I21" s="68"/>
      <c r="J21" s="68"/>
    </row>
    <row r="22" spans="1:10" ht="49.5" customHeight="1" x14ac:dyDescent="0.3">
      <c r="A22" s="65"/>
      <c r="B22" s="65"/>
      <c r="C22" s="65"/>
      <c r="D22" s="65"/>
      <c r="E22" s="65"/>
      <c r="F22" s="66"/>
      <c r="G22" s="68"/>
      <c r="H22" s="68"/>
      <c r="I22" s="68"/>
      <c r="J22" s="68"/>
    </row>
    <row r="23" spans="1:10" x14ac:dyDescent="0.3">
      <c r="A23" s="65"/>
      <c r="B23" s="65"/>
      <c r="C23" s="65"/>
      <c r="D23" s="65"/>
      <c r="E23" s="65"/>
      <c r="F23" s="66"/>
      <c r="G23" s="67" t="s">
        <v>5</v>
      </c>
      <c r="H23" s="67" t="s">
        <v>420</v>
      </c>
      <c r="I23" s="68"/>
      <c r="J23" s="68"/>
    </row>
    <row r="24" spans="1:10" x14ac:dyDescent="0.3">
      <c r="A24" s="65"/>
      <c r="B24" s="65"/>
      <c r="C24" s="65"/>
      <c r="D24" s="65"/>
      <c r="E24" s="65"/>
      <c r="F24" s="66"/>
      <c r="G24" s="68" t="s">
        <v>80</v>
      </c>
      <c r="H24" s="68">
        <f>COUNTIFS(tblPivotData[Priority],G24)</f>
        <v>29</v>
      </c>
      <c r="I24" s="68"/>
      <c r="J24" s="68"/>
    </row>
    <row r="25" spans="1:10" x14ac:dyDescent="0.3">
      <c r="A25" s="65"/>
      <c r="B25" s="65"/>
      <c r="C25" s="65"/>
      <c r="D25" s="65"/>
      <c r="E25" s="65"/>
      <c r="F25" s="66"/>
      <c r="G25" s="68" t="s">
        <v>121</v>
      </c>
      <c r="H25" s="68">
        <f>COUNTIFS(tblPivotData[Priority],G25)</f>
        <v>43</v>
      </c>
      <c r="I25" s="68"/>
      <c r="J25" s="68"/>
    </row>
    <row r="26" spans="1:10" x14ac:dyDescent="0.3">
      <c r="A26" s="65"/>
      <c r="B26" s="65"/>
      <c r="C26" s="65"/>
      <c r="D26" s="65"/>
      <c r="E26" s="65"/>
      <c r="F26" s="66"/>
      <c r="G26" s="68" t="s">
        <v>151</v>
      </c>
      <c r="H26" s="68">
        <f>COUNTIFS(tblPivotData[Priority],G26)</f>
        <v>27</v>
      </c>
      <c r="I26" s="68"/>
      <c r="J26" s="68"/>
    </row>
    <row r="27" spans="1:10" x14ac:dyDescent="0.3">
      <c r="A27" s="65"/>
      <c r="B27" s="65"/>
      <c r="C27" s="65"/>
      <c r="D27" s="65"/>
      <c r="E27" s="65"/>
      <c r="F27" s="66"/>
      <c r="G27" s="68" t="s">
        <v>31</v>
      </c>
      <c r="H27" s="68">
        <f>COUNTIFS(tblPivotData[Priority],G27)</f>
        <v>21</v>
      </c>
      <c r="I27" s="68"/>
      <c r="J27" s="68"/>
    </row>
    <row r="28" spans="1:10" x14ac:dyDescent="0.3">
      <c r="A28" s="65"/>
      <c r="B28" s="65"/>
      <c r="C28" s="65"/>
      <c r="D28" s="65"/>
      <c r="E28" s="65"/>
      <c r="F28" s="66"/>
      <c r="G28" s="68"/>
      <c r="H28" s="68"/>
      <c r="I28" s="68"/>
      <c r="J28" s="68"/>
    </row>
    <row r="29" spans="1:10" x14ac:dyDescent="0.3">
      <c r="A29" s="65"/>
      <c r="B29" s="65"/>
      <c r="C29" s="65"/>
      <c r="D29" s="65"/>
      <c r="E29" s="65"/>
      <c r="F29" s="66"/>
      <c r="G29" s="67" t="s">
        <v>398</v>
      </c>
      <c r="H29" s="67" t="s">
        <v>152</v>
      </c>
      <c r="I29" s="68"/>
      <c r="J29" s="68"/>
    </row>
    <row r="30" spans="1:10" x14ac:dyDescent="0.3">
      <c r="A30" s="65"/>
      <c r="B30" s="65"/>
      <c r="C30" s="65"/>
      <c r="D30" s="65"/>
      <c r="E30" s="65"/>
      <c r="F30" s="66"/>
      <c r="G30" s="68" t="s">
        <v>399</v>
      </c>
      <c r="H30" s="68">
        <f>COUNTIFS(tblPivotData[Completion_Month],G30)</f>
        <v>0</v>
      </c>
      <c r="I30" s="68"/>
      <c r="J30" s="68"/>
    </row>
    <row r="31" spans="1:10" ht="49.5" customHeight="1" x14ac:dyDescent="0.3">
      <c r="A31" s="65"/>
      <c r="B31" s="65"/>
      <c r="C31" s="65"/>
      <c r="D31" s="65"/>
      <c r="E31" s="65"/>
      <c r="F31" s="66"/>
      <c r="G31" s="68" t="s">
        <v>400</v>
      </c>
      <c r="H31" s="68">
        <f>COUNTIFS(tblPivotData[Completion_Month],G31)</f>
        <v>0</v>
      </c>
      <c r="I31" s="68"/>
      <c r="J31" s="68"/>
    </row>
    <row r="32" spans="1:10" x14ac:dyDescent="0.3">
      <c r="A32" s="65"/>
      <c r="B32" s="65"/>
      <c r="C32" s="65"/>
      <c r="D32" s="65"/>
      <c r="E32" s="65"/>
      <c r="F32" s="66"/>
      <c r="G32" s="68" t="s">
        <v>401</v>
      </c>
      <c r="H32" s="68">
        <f>COUNTIFS(tblPivotData[Completion_Month],G32)</f>
        <v>2</v>
      </c>
      <c r="I32" s="68"/>
      <c r="J32" s="68"/>
    </row>
    <row r="33" spans="1:10" x14ac:dyDescent="0.3">
      <c r="A33" s="65"/>
      <c r="B33" s="65"/>
      <c r="C33" s="65"/>
      <c r="D33" s="65"/>
      <c r="E33" s="65"/>
      <c r="F33" s="66"/>
      <c r="G33" s="68" t="s">
        <v>402</v>
      </c>
      <c r="H33" s="68">
        <f>COUNTIFS(tblPivotData[Completion_Month],G33)</f>
        <v>2</v>
      </c>
      <c r="I33" s="68"/>
      <c r="J33" s="68"/>
    </row>
    <row r="34" spans="1:10" x14ac:dyDescent="0.3">
      <c r="A34" s="65"/>
      <c r="B34" s="65"/>
      <c r="C34" s="65"/>
      <c r="D34" s="65"/>
      <c r="E34" s="65"/>
      <c r="F34" s="66"/>
      <c r="G34" s="68" t="s">
        <v>403</v>
      </c>
      <c r="H34" s="68">
        <f>COUNTIFS(tblPivotData[Completion_Month],G34)</f>
        <v>2</v>
      </c>
      <c r="I34" s="68"/>
      <c r="J34" s="68"/>
    </row>
    <row r="35" spans="1:10" x14ac:dyDescent="0.3">
      <c r="A35" s="65"/>
      <c r="B35" s="65"/>
      <c r="C35" s="65"/>
      <c r="D35" s="65"/>
      <c r="E35" s="65"/>
      <c r="F35" s="66"/>
      <c r="G35" s="68" t="s">
        <v>404</v>
      </c>
      <c r="H35" s="68">
        <f>COUNTIFS(tblPivotData[Completion_Month],G35)</f>
        <v>4</v>
      </c>
      <c r="I35" s="68"/>
      <c r="J35" s="68"/>
    </row>
    <row r="36" spans="1:10" x14ac:dyDescent="0.3">
      <c r="A36" s="65"/>
      <c r="B36" s="65"/>
      <c r="C36" s="65"/>
      <c r="D36" s="65"/>
      <c r="E36" s="65"/>
      <c r="F36" s="66"/>
      <c r="G36" s="68" t="s">
        <v>405</v>
      </c>
      <c r="H36" s="68">
        <f>COUNTIFS(tblPivotData[Completion_Month],G36)</f>
        <v>1</v>
      </c>
      <c r="I36" s="68"/>
      <c r="J36" s="68"/>
    </row>
    <row r="37" spans="1:10" x14ac:dyDescent="0.3">
      <c r="A37" s="65"/>
      <c r="B37" s="65"/>
      <c r="C37" s="65"/>
      <c r="D37" s="65"/>
      <c r="E37" s="65"/>
      <c r="F37" s="66"/>
      <c r="G37" s="68" t="s">
        <v>406</v>
      </c>
      <c r="H37" s="68">
        <f>COUNTIFS(tblPivotData[Completion_Month],G37)</f>
        <v>1</v>
      </c>
      <c r="I37" s="68"/>
      <c r="J37" s="68"/>
    </row>
    <row r="38" spans="1:10" x14ac:dyDescent="0.3">
      <c r="A38" s="65"/>
      <c r="B38" s="65"/>
      <c r="C38" s="65"/>
      <c r="D38" s="65"/>
      <c r="E38" s="65"/>
      <c r="F38" s="66"/>
      <c r="G38" s="68" t="s">
        <v>407</v>
      </c>
      <c r="H38" s="68">
        <f>COUNTIFS(tblPivotData[Completion_Month],G38)</f>
        <v>0</v>
      </c>
    </row>
    <row r="39" spans="1:10" x14ac:dyDescent="0.3">
      <c r="A39" s="65"/>
      <c r="B39" s="65"/>
      <c r="C39" s="65"/>
      <c r="D39" s="65"/>
      <c r="E39" s="65"/>
      <c r="F39" s="66"/>
      <c r="G39" s="68" t="s">
        <v>408</v>
      </c>
      <c r="H39" s="68">
        <f>COUNTIFS(tblPivotData[Completion_Month],G39)</f>
        <v>1</v>
      </c>
    </row>
    <row r="40" spans="1:10" x14ac:dyDescent="0.3">
      <c r="A40" s="65"/>
      <c r="B40" s="65"/>
      <c r="C40" s="65"/>
      <c r="D40" s="65"/>
      <c r="E40" s="65"/>
      <c r="F40" s="66"/>
      <c r="G40" s="68" t="s">
        <v>409</v>
      </c>
      <c r="H40" s="68">
        <f>COUNTIFS(tblPivotData[Completion_Month],G40)</f>
        <v>6</v>
      </c>
    </row>
    <row r="41" spans="1:10" x14ac:dyDescent="0.3">
      <c r="A41" s="65"/>
      <c r="B41" s="65"/>
      <c r="C41" s="65"/>
      <c r="D41" s="65"/>
      <c r="E41" s="65"/>
      <c r="F41" s="66"/>
      <c r="G41" s="68" t="s">
        <v>410</v>
      </c>
      <c r="H41" s="68">
        <f>COUNTIFS(tblPivotData[Completion_Month],G41)</f>
        <v>3</v>
      </c>
    </row>
    <row r="42" spans="1:10" x14ac:dyDescent="0.3">
      <c r="A42" s="65"/>
      <c r="B42" s="65"/>
      <c r="C42" s="65"/>
      <c r="D42" s="65"/>
      <c r="E42" s="65"/>
      <c r="F42" s="66"/>
      <c r="G42" s="68" t="s">
        <v>411</v>
      </c>
      <c r="H42" s="68">
        <f>COUNTIFS(tblPivotData[Completion_Month],G42)</f>
        <v>2</v>
      </c>
    </row>
    <row r="43" spans="1:10" x14ac:dyDescent="0.3">
      <c r="A43" s="65"/>
      <c r="B43" s="65"/>
      <c r="C43" s="65"/>
      <c r="D43" s="65"/>
      <c r="E43" s="65"/>
      <c r="F43" s="66"/>
      <c r="G43" s="68" t="s">
        <v>412</v>
      </c>
      <c r="H43" s="68">
        <f>COUNTIFS(tblPivotData[Completion_Month],G43)</f>
        <v>2</v>
      </c>
    </row>
    <row r="44" spans="1:10" x14ac:dyDescent="0.3">
      <c r="A44" s="65"/>
      <c r="B44" s="65"/>
      <c r="C44" s="65"/>
      <c r="D44" s="65"/>
      <c r="E44" s="65"/>
      <c r="F44" s="66"/>
      <c r="G44" s="68" t="s">
        <v>413</v>
      </c>
      <c r="H44" s="68">
        <f>COUNTIFS(tblPivotData[Completion_Month],G44)</f>
        <v>2</v>
      </c>
    </row>
    <row r="45" spans="1:10" x14ac:dyDescent="0.3">
      <c r="A45" s="65"/>
      <c r="B45" s="65"/>
      <c r="C45" s="65"/>
      <c r="D45" s="65"/>
      <c r="E45" s="65"/>
      <c r="F45" s="66"/>
      <c r="G45" s="68"/>
      <c r="H45" s="68"/>
    </row>
    <row r="46" spans="1:10" x14ac:dyDescent="0.3">
      <c r="A46" s="65"/>
      <c r="B46" s="65"/>
      <c r="C46" s="65"/>
      <c r="D46" s="65"/>
      <c r="E46" s="65"/>
      <c r="F46" s="66"/>
      <c r="G46" s="67" t="s">
        <v>352</v>
      </c>
      <c r="H46" s="67" t="s">
        <v>414</v>
      </c>
    </row>
    <row r="47" spans="1:10" x14ac:dyDescent="0.3">
      <c r="A47" s="65"/>
      <c r="B47" s="65"/>
      <c r="C47" s="65"/>
      <c r="D47" s="65"/>
      <c r="E47" s="65"/>
      <c r="F47" s="66"/>
      <c r="G47" s="68" t="s">
        <v>117</v>
      </c>
      <c r="H47" s="68">
        <f>COUNTIFS(tblPivotData[Assigned To],G47)</f>
        <v>7</v>
      </c>
    </row>
    <row r="48" spans="1:10" x14ac:dyDescent="0.3">
      <c r="A48" s="65"/>
      <c r="B48" s="65"/>
      <c r="C48" s="65"/>
      <c r="D48" s="65"/>
      <c r="E48" s="65"/>
      <c r="F48" s="66"/>
      <c r="G48" s="68" t="s">
        <v>129</v>
      </c>
      <c r="H48" s="68">
        <f>COUNTIFS(tblPivotData[Assigned To],G48)</f>
        <v>11</v>
      </c>
    </row>
    <row r="49" spans="1:8" x14ac:dyDescent="0.3">
      <c r="A49" s="65"/>
      <c r="B49" s="65"/>
      <c r="C49" s="65"/>
      <c r="D49" s="65"/>
      <c r="E49" s="65"/>
      <c r="F49" s="66"/>
      <c r="G49" s="68" t="s">
        <v>167</v>
      </c>
      <c r="H49" s="68">
        <f>COUNTIFS(tblPivotData[Assigned To],G49)</f>
        <v>11</v>
      </c>
    </row>
    <row r="50" spans="1:8" x14ac:dyDescent="0.3">
      <c r="A50" s="65"/>
      <c r="B50" s="65"/>
      <c r="C50" s="65"/>
      <c r="D50" s="65"/>
      <c r="E50" s="65"/>
      <c r="F50" s="66"/>
      <c r="G50" s="68" t="s">
        <v>70</v>
      </c>
      <c r="H50" s="68">
        <f>COUNTIFS(tblPivotData[Assigned To],G50)</f>
        <v>11</v>
      </c>
    </row>
    <row r="51" spans="1:8" x14ac:dyDescent="0.3">
      <c r="A51" s="65"/>
      <c r="B51" s="65"/>
      <c r="C51" s="65"/>
      <c r="D51" s="65"/>
      <c r="E51" s="65"/>
      <c r="F51" s="66"/>
      <c r="G51" s="68" t="s">
        <v>37</v>
      </c>
      <c r="H51" s="68">
        <f>COUNTIFS(tblPivotData[Assigned To],G51)</f>
        <v>9</v>
      </c>
    </row>
    <row r="52" spans="1:8" x14ac:dyDescent="0.3">
      <c r="A52" s="65"/>
      <c r="B52" s="65"/>
      <c r="C52" s="65"/>
      <c r="D52" s="65"/>
      <c r="E52" s="65"/>
      <c r="F52" s="66"/>
      <c r="G52" s="68" t="s">
        <v>262</v>
      </c>
      <c r="H52" s="68">
        <f>COUNTIFS(tblPivotData[Assigned To],G52)</f>
        <v>1</v>
      </c>
    </row>
    <row r="53" spans="1:8" x14ac:dyDescent="0.3">
      <c r="A53" s="65"/>
      <c r="B53" s="65"/>
      <c r="C53" s="65"/>
      <c r="D53" s="65"/>
      <c r="E53" s="65"/>
      <c r="F53" s="66"/>
      <c r="G53" s="68" t="s">
        <v>100</v>
      </c>
      <c r="H53" s="68">
        <f>COUNTIFS(tblPivotData[Assigned To],G53)</f>
        <v>5</v>
      </c>
    </row>
    <row r="54" spans="1:8" x14ac:dyDescent="0.3">
      <c r="A54" s="65"/>
      <c r="B54" s="65"/>
      <c r="C54" s="65"/>
      <c r="D54" s="65"/>
      <c r="E54" s="65"/>
      <c r="F54" s="66"/>
      <c r="G54" s="68" t="s">
        <v>78</v>
      </c>
      <c r="H54" s="68">
        <f>COUNTIFS(tblPivotData[Assigned To],G54)</f>
        <v>10</v>
      </c>
    </row>
    <row r="55" spans="1:8" x14ac:dyDescent="0.3">
      <c r="A55" s="65"/>
      <c r="B55" s="65"/>
      <c r="C55" s="65"/>
      <c r="D55" s="65"/>
      <c r="E55" s="65"/>
      <c r="F55" s="66"/>
      <c r="G55" s="68" t="s">
        <v>62</v>
      </c>
      <c r="H55" s="68">
        <f>COUNTIFS(tblPivotData[Assigned To],G55)</f>
        <v>5</v>
      </c>
    </row>
    <row r="56" spans="1:8" x14ac:dyDescent="0.3">
      <c r="A56" s="65"/>
      <c r="B56" s="65"/>
      <c r="C56" s="65"/>
      <c r="D56" s="65"/>
      <c r="E56" s="65"/>
      <c r="F56" s="66"/>
      <c r="G56" s="68" t="s">
        <v>29</v>
      </c>
      <c r="H56" s="68">
        <f>COUNTIFS(tblPivotData[Assigned To],G56)</f>
        <v>8</v>
      </c>
    </row>
    <row r="57" spans="1:8" x14ac:dyDescent="0.3">
      <c r="A57" s="65"/>
      <c r="B57" s="65"/>
      <c r="C57" s="65"/>
      <c r="D57" s="65"/>
      <c r="E57" s="65"/>
      <c r="F57" s="66"/>
      <c r="G57" s="68" t="s">
        <v>123</v>
      </c>
      <c r="H57" s="68">
        <f>COUNTIFS(tblPivotData[Assigned To],G57)</f>
        <v>10</v>
      </c>
    </row>
    <row r="58" spans="1:8" x14ac:dyDescent="0.3">
      <c r="A58" s="65"/>
      <c r="B58" s="65"/>
      <c r="C58" s="65"/>
      <c r="D58" s="65"/>
      <c r="E58" s="65"/>
      <c r="F58" s="66"/>
      <c r="G58" s="68" t="s">
        <v>19</v>
      </c>
      <c r="H58" s="68">
        <f>COUNTIFS(tblPivotData[Assigned To],G58)</f>
        <v>9</v>
      </c>
    </row>
    <row r="59" spans="1:8" x14ac:dyDescent="0.3">
      <c r="A59" s="65"/>
      <c r="B59" s="65"/>
      <c r="C59" s="65"/>
      <c r="D59" s="65"/>
      <c r="E59" s="65"/>
      <c r="F59" s="66"/>
      <c r="G59" s="68" t="s">
        <v>86</v>
      </c>
      <c r="H59" s="68">
        <f>COUNTIFS(tblPivotData[Assigned To],G59)</f>
        <v>7</v>
      </c>
    </row>
    <row r="60" spans="1:8" ht="49.5" customHeight="1" x14ac:dyDescent="0.3">
      <c r="A60" s="65"/>
      <c r="B60" s="65"/>
      <c r="C60" s="65"/>
      <c r="D60" s="65"/>
      <c r="E60" s="65"/>
      <c r="F60" s="66"/>
      <c r="G60" s="68" t="s">
        <v>54</v>
      </c>
      <c r="H60" s="68">
        <f>COUNTIFS(tblPivotData[Assigned To],G60)</f>
        <v>7</v>
      </c>
    </row>
    <row r="61" spans="1:8" x14ac:dyDescent="0.3">
      <c r="A61" s="65"/>
      <c r="B61" s="65"/>
      <c r="C61" s="65"/>
      <c r="D61" s="65"/>
      <c r="E61" s="65"/>
      <c r="F61" s="66"/>
      <c r="G61" s="68" t="s">
        <v>45</v>
      </c>
      <c r="H61" s="68">
        <f>COUNTIFS(tblPivotData[Assigned To],G61)</f>
        <v>9</v>
      </c>
    </row>
    <row r="62" spans="1:8" x14ac:dyDescent="0.3">
      <c r="A62" s="65"/>
      <c r="B62" s="65"/>
      <c r="C62" s="65"/>
      <c r="D62" s="65"/>
      <c r="E62" s="65"/>
      <c r="F62" s="66"/>
      <c r="G62" s="68"/>
      <c r="H62" s="68"/>
    </row>
    <row r="63" spans="1:8" x14ac:dyDescent="0.3">
      <c r="A63" s="65"/>
      <c r="B63" s="65"/>
      <c r="C63" s="65"/>
      <c r="D63" s="65"/>
      <c r="E63" s="65"/>
      <c r="F63" s="66"/>
      <c r="G63" s="67" t="s">
        <v>352</v>
      </c>
      <c r="H63" s="67" t="s">
        <v>421</v>
      </c>
    </row>
    <row r="64" spans="1:8" x14ac:dyDescent="0.3">
      <c r="A64" s="65"/>
      <c r="B64" s="65"/>
      <c r="C64" s="65"/>
      <c r="D64" s="65"/>
      <c r="E64" s="65"/>
      <c r="F64" s="66"/>
      <c r="G64" s="68" t="str">
        <f>Workload_Analysis!A2</f>
        <v>Rahul Sharma</v>
      </c>
      <c r="H64" s="68">
        <f>Workload_Analysis!F2</f>
        <v>197.3</v>
      </c>
    </row>
    <row r="65" spans="1:8" x14ac:dyDescent="0.3">
      <c r="A65" s="65"/>
      <c r="B65" s="65"/>
      <c r="C65" s="65"/>
      <c r="D65" s="65"/>
      <c r="E65" s="65"/>
      <c r="F65" s="66"/>
      <c r="G65" s="68" t="str">
        <f>Workload_Analysis!A3</f>
        <v>Priya Patel</v>
      </c>
      <c r="H65" s="68">
        <f>Workload_Analysis!F3</f>
        <v>211.5</v>
      </c>
    </row>
    <row r="66" spans="1:8" x14ac:dyDescent="0.3">
      <c r="A66" s="65"/>
      <c r="B66" s="65"/>
      <c r="C66" s="65"/>
      <c r="D66" s="65"/>
      <c r="E66" s="65"/>
      <c r="F66" s="66"/>
      <c r="G66" s="68" t="str">
        <f>Workload_Analysis!A4</f>
        <v>Amit Verma</v>
      </c>
      <c r="H66" s="68">
        <f>Workload_Analysis!F4</f>
        <v>135.6</v>
      </c>
    </row>
    <row r="67" spans="1:8" x14ac:dyDescent="0.3">
      <c r="A67" s="65"/>
      <c r="B67" s="65"/>
      <c r="C67" s="65"/>
      <c r="D67" s="65"/>
      <c r="E67" s="65"/>
      <c r="F67" s="66"/>
      <c r="G67" s="68" t="str">
        <f>Workload_Analysis!A5</f>
        <v>Sneha Gupta</v>
      </c>
      <c r="H67" s="68">
        <f>Workload_Analysis!F5</f>
        <v>142.5</v>
      </c>
    </row>
    <row r="68" spans="1:8" x14ac:dyDescent="0.3">
      <c r="A68" s="65"/>
      <c r="B68" s="65"/>
      <c r="C68" s="65"/>
      <c r="D68" s="65"/>
      <c r="E68" s="65"/>
      <c r="F68" s="66"/>
      <c r="G68" s="68" t="str">
        <f>Workload_Analysis!A6</f>
        <v>Vikram Singh</v>
      </c>
      <c r="H68" s="68">
        <f>Workload_Analysis!F6</f>
        <v>118.89999999999999</v>
      </c>
    </row>
    <row r="69" spans="1:8" x14ac:dyDescent="0.3">
      <c r="A69" s="65"/>
      <c r="B69" s="65"/>
      <c r="C69" s="65"/>
      <c r="D69" s="65"/>
      <c r="E69" s="65"/>
      <c r="F69" s="66"/>
      <c r="G69" s="68" t="str">
        <f>Workload_Analysis!A7</f>
        <v>Neha Joshi</v>
      </c>
      <c r="H69" s="68">
        <f>Workload_Analysis!F7</f>
        <v>67.099999999999994</v>
      </c>
    </row>
    <row r="70" spans="1:8" x14ac:dyDescent="0.3">
      <c r="A70" s="65"/>
      <c r="B70" s="65"/>
      <c r="C70" s="65"/>
      <c r="D70" s="65"/>
      <c r="E70" s="65"/>
      <c r="F70" s="66"/>
      <c r="G70" s="68" t="str">
        <f>Workload_Analysis!A8</f>
        <v>Arjun Mehta</v>
      </c>
      <c r="H70" s="68">
        <f>Workload_Analysis!F8</f>
        <v>61.4</v>
      </c>
    </row>
    <row r="71" spans="1:8" x14ac:dyDescent="0.3">
      <c r="A71" s="65"/>
      <c r="B71" s="65"/>
      <c r="C71" s="65"/>
      <c r="D71" s="65"/>
      <c r="E71" s="65"/>
      <c r="F71" s="66"/>
      <c r="G71" s="68" t="str">
        <f>Workload_Analysis!A9</f>
        <v>Kavita Rao</v>
      </c>
      <c r="H71" s="68">
        <f>Workload_Analysis!F9</f>
        <v>103.89999999999999</v>
      </c>
    </row>
    <row r="72" spans="1:8" x14ac:dyDescent="0.3">
      <c r="A72" s="65"/>
      <c r="B72" s="65"/>
      <c r="C72" s="65"/>
      <c r="D72" s="65"/>
      <c r="E72" s="65"/>
      <c r="F72" s="66"/>
      <c r="G72" s="68" t="str">
        <f>Workload_Analysis!A10</f>
        <v>Deepak Nair</v>
      </c>
      <c r="H72" s="68">
        <f>Workload_Analysis!F10</f>
        <v>25.2</v>
      </c>
    </row>
    <row r="73" spans="1:8" x14ac:dyDescent="0.3">
      <c r="A73" s="65"/>
      <c r="B73" s="65"/>
      <c r="C73" s="65"/>
      <c r="D73" s="65"/>
      <c r="E73" s="65"/>
      <c r="F73" s="66"/>
      <c r="G73" s="68" t="str">
        <f>Workload_Analysis!A11</f>
        <v>Ananya Das</v>
      </c>
      <c r="H73" s="68">
        <f>Workload_Analysis!F11</f>
        <v>106.30000000000001</v>
      </c>
    </row>
    <row r="74" spans="1:8" x14ac:dyDescent="0.3">
      <c r="A74" s="65"/>
      <c r="B74" s="65"/>
      <c r="C74" s="65"/>
      <c r="D74" s="65"/>
      <c r="E74" s="65"/>
      <c r="F74" s="66"/>
      <c r="G74" s="68" t="str">
        <f>Workload_Analysis!A12</f>
        <v>Rohan Iyer</v>
      </c>
      <c r="H74" s="68">
        <f>Workload_Analysis!F12</f>
        <v>114.5</v>
      </c>
    </row>
    <row r="75" spans="1:8" x14ac:dyDescent="0.3">
      <c r="A75" s="65"/>
      <c r="B75" s="65"/>
      <c r="C75" s="65"/>
      <c r="D75" s="65"/>
      <c r="E75" s="65"/>
      <c r="F75" s="66"/>
      <c r="G75" s="68" t="str">
        <f>Workload_Analysis!A13</f>
        <v>Pooja Reddy</v>
      </c>
      <c r="H75" s="68">
        <f>Workload_Analysis!F13</f>
        <v>107.2</v>
      </c>
    </row>
    <row r="76" spans="1:8" x14ac:dyDescent="0.3">
      <c r="A76" s="65"/>
      <c r="B76" s="65"/>
      <c r="C76" s="65"/>
      <c r="D76" s="65"/>
      <c r="E76" s="65"/>
      <c r="F76" s="66"/>
      <c r="G76" s="68" t="str">
        <f>Workload_Analysis!A14</f>
        <v>Sanjay Kulkarni</v>
      </c>
      <c r="H76" s="68">
        <f>Workload_Analysis!F14</f>
        <v>74.8</v>
      </c>
    </row>
    <row r="77" spans="1:8" x14ac:dyDescent="0.3">
      <c r="A77" s="65"/>
      <c r="B77" s="65"/>
      <c r="C77" s="65"/>
      <c r="D77" s="65"/>
      <c r="E77" s="65"/>
      <c r="F77" s="66"/>
      <c r="G77" s="68" t="str">
        <f>Workload_Analysis!A15</f>
        <v>Meera Thakur</v>
      </c>
      <c r="H77" s="68">
        <f>Workload_Analysis!F15</f>
        <v>6.8</v>
      </c>
    </row>
    <row r="78" spans="1:8" x14ac:dyDescent="0.3">
      <c r="A78" s="65"/>
      <c r="B78" s="65"/>
      <c r="C78" s="65"/>
      <c r="D78" s="65"/>
      <c r="E78" s="65"/>
      <c r="F78" s="66"/>
      <c r="G78" s="68" t="str">
        <f>Workload_Analysis!A16</f>
        <v>Karan Malhotra</v>
      </c>
      <c r="H78" s="68">
        <f>Workload_Analysis!F16</f>
        <v>152.90000000000003</v>
      </c>
    </row>
    <row r="79" spans="1:8" x14ac:dyDescent="0.3">
      <c r="A79" s="65"/>
      <c r="B79" s="65"/>
      <c r="C79" s="65"/>
      <c r="D79" s="65"/>
      <c r="E79" s="65"/>
      <c r="F79" s="66"/>
      <c r="G79" s="68"/>
      <c r="H79" s="68"/>
    </row>
    <row r="80" spans="1:8" x14ac:dyDescent="0.3">
      <c r="A80" s="65"/>
      <c r="B80" s="65"/>
      <c r="C80" s="65"/>
      <c r="D80" s="65"/>
      <c r="E80" s="65"/>
      <c r="F80" s="66"/>
      <c r="G80" s="68"/>
      <c r="H80" s="68"/>
    </row>
    <row r="81" spans="1:8" x14ac:dyDescent="0.3">
      <c r="A81" s="65"/>
      <c r="B81" s="65"/>
      <c r="C81" s="65"/>
      <c r="D81" s="65"/>
      <c r="E81" s="65"/>
      <c r="F81" s="66"/>
      <c r="G81" s="68"/>
      <c r="H81" s="68"/>
    </row>
    <row r="82" spans="1:8" x14ac:dyDescent="0.3">
      <c r="A82" s="65"/>
      <c r="B82" s="65"/>
      <c r="C82" s="65"/>
      <c r="D82" s="65"/>
      <c r="E82" s="65"/>
      <c r="F82" s="66"/>
      <c r="G82" s="68"/>
      <c r="H82" s="68"/>
    </row>
    <row r="83" spans="1:8" x14ac:dyDescent="0.3">
      <c r="A83" s="65"/>
      <c r="B83" s="65"/>
      <c r="C83" s="65"/>
      <c r="D83" s="65"/>
      <c r="E83" s="65"/>
      <c r="F83" s="66"/>
      <c r="G83" s="68"/>
      <c r="H83" s="68"/>
    </row>
    <row r="84" spans="1:8" x14ac:dyDescent="0.3">
      <c r="A84" s="65"/>
      <c r="B84" s="65"/>
      <c r="C84" s="65"/>
      <c r="D84" s="65"/>
      <c r="E84" s="65"/>
      <c r="F84" s="66"/>
      <c r="G84" s="68"/>
      <c r="H84" s="68"/>
    </row>
    <row r="85" spans="1:8" x14ac:dyDescent="0.3">
      <c r="A85" s="65"/>
      <c r="B85" s="65"/>
      <c r="C85" s="65"/>
      <c r="D85" s="65"/>
      <c r="E85" s="65"/>
      <c r="F85" s="66"/>
      <c r="G85" s="68"/>
      <c r="H85" s="68"/>
    </row>
    <row r="86" spans="1:8" x14ac:dyDescent="0.3">
      <c r="A86" s="65"/>
      <c r="B86" s="65"/>
      <c r="C86" s="65"/>
      <c r="D86" s="65"/>
      <c r="E86" s="65"/>
      <c r="F86" s="66"/>
      <c r="G86" s="68"/>
      <c r="H86" s="68"/>
    </row>
    <row r="87" spans="1:8" x14ac:dyDescent="0.3">
      <c r="A87" s="65"/>
      <c r="B87" s="65"/>
      <c r="C87" s="65"/>
      <c r="D87" s="65"/>
      <c r="E87" s="65"/>
      <c r="F87" s="66"/>
      <c r="G87" s="68"/>
      <c r="H87" s="68"/>
    </row>
    <row r="88" spans="1:8" x14ac:dyDescent="0.3">
      <c r="A88" s="65"/>
      <c r="B88" s="65"/>
      <c r="C88" s="65"/>
      <c r="D88" s="65"/>
      <c r="E88" s="65"/>
      <c r="F88" s="66"/>
      <c r="G88" s="68"/>
      <c r="H88" s="68"/>
    </row>
    <row r="89" spans="1:8" x14ac:dyDescent="0.3">
      <c r="A89" s="65"/>
      <c r="B89" s="65"/>
      <c r="C89" s="65"/>
      <c r="D89" s="65"/>
      <c r="E89" s="65"/>
      <c r="F89" s="66"/>
      <c r="G89" s="68"/>
      <c r="H89" s="68"/>
    </row>
    <row r="90" spans="1:8" x14ac:dyDescent="0.3">
      <c r="A90" s="65"/>
      <c r="B90" s="65"/>
      <c r="C90" s="65"/>
      <c r="D90" s="65"/>
      <c r="E90" s="65"/>
      <c r="F90" s="66"/>
      <c r="G90" s="68"/>
      <c r="H90" s="68"/>
    </row>
    <row r="91" spans="1:8" x14ac:dyDescent="0.3">
      <c r="A91" s="65"/>
      <c r="B91" s="65"/>
      <c r="C91" s="65"/>
      <c r="D91" s="65"/>
      <c r="E91" s="65"/>
      <c r="F91" s="66"/>
      <c r="G91" s="68"/>
      <c r="H91" s="68"/>
    </row>
    <row r="92" spans="1:8" x14ac:dyDescent="0.3">
      <c r="A92" s="65"/>
      <c r="B92" s="65"/>
      <c r="C92" s="65"/>
      <c r="D92" s="65"/>
      <c r="E92" s="65"/>
      <c r="F92" s="66"/>
      <c r="G92" s="68"/>
      <c r="H92" s="68"/>
    </row>
    <row r="93" spans="1:8" x14ac:dyDescent="0.3">
      <c r="A93" s="65"/>
      <c r="B93" s="65"/>
      <c r="C93" s="65"/>
      <c r="D93" s="65"/>
      <c r="E93" s="65"/>
      <c r="F93" s="66"/>
      <c r="G93" s="68"/>
      <c r="H93" s="68"/>
    </row>
    <row r="94" spans="1:8" x14ac:dyDescent="0.3">
      <c r="A94" s="65"/>
      <c r="B94" s="65"/>
      <c r="C94" s="65"/>
      <c r="D94" s="65"/>
      <c r="E94" s="65"/>
      <c r="F94" s="66"/>
      <c r="G94" s="68"/>
      <c r="H94" s="68"/>
    </row>
    <row r="95" spans="1:8" x14ac:dyDescent="0.3">
      <c r="A95" s="65"/>
      <c r="B95" s="65"/>
      <c r="C95" s="65"/>
      <c r="D95" s="65"/>
      <c r="E95" s="65"/>
      <c r="F95" s="66"/>
      <c r="G95" s="68"/>
      <c r="H95" s="68"/>
    </row>
    <row r="96" spans="1:8" x14ac:dyDescent="0.3">
      <c r="A96" s="65"/>
      <c r="B96" s="65"/>
      <c r="C96" s="65"/>
      <c r="D96" s="65"/>
      <c r="E96" s="65"/>
      <c r="F96" s="66"/>
      <c r="G96" s="68"/>
      <c r="H96" s="68"/>
    </row>
    <row r="97" spans="1:10" x14ac:dyDescent="0.3">
      <c r="A97" s="65"/>
      <c r="B97" s="65"/>
      <c r="C97" s="65"/>
      <c r="D97" s="65"/>
      <c r="E97" s="65"/>
      <c r="F97" s="66"/>
      <c r="G97" s="68"/>
      <c r="H97" s="68"/>
    </row>
    <row r="98" spans="1:10" x14ac:dyDescent="0.3">
      <c r="A98" s="65"/>
      <c r="B98" s="65"/>
      <c r="C98" s="65"/>
      <c r="D98" s="65"/>
      <c r="E98" s="65"/>
      <c r="F98" s="66"/>
      <c r="G98" s="68"/>
      <c r="H98" s="68"/>
    </row>
    <row r="99" spans="1:10" x14ac:dyDescent="0.3">
      <c r="A99" s="65"/>
      <c r="B99" s="65"/>
      <c r="C99" s="65"/>
      <c r="D99" s="65"/>
      <c r="E99" s="65"/>
      <c r="F99" s="66"/>
      <c r="G99" s="68"/>
      <c r="H99" s="68"/>
    </row>
    <row r="100" spans="1:10" x14ac:dyDescent="0.3">
      <c r="A100" s="65"/>
      <c r="B100" s="65"/>
      <c r="C100" s="65"/>
      <c r="D100" s="65"/>
      <c r="E100" s="65"/>
      <c r="F100" s="66"/>
      <c r="G100" s="68"/>
      <c r="H100" s="68"/>
    </row>
    <row r="101" spans="1:10" x14ac:dyDescent="0.3">
      <c r="A101" s="65"/>
      <c r="B101" s="65"/>
      <c r="C101" s="65"/>
      <c r="D101" s="65"/>
      <c r="E101" s="65"/>
      <c r="F101" s="66"/>
      <c r="G101" s="68"/>
      <c r="H101" s="68"/>
    </row>
    <row r="102" spans="1:10" x14ac:dyDescent="0.3">
      <c r="A102" s="65"/>
      <c r="B102" s="65"/>
      <c r="C102" s="65"/>
      <c r="D102" s="65"/>
      <c r="E102" s="65"/>
      <c r="F102" s="66"/>
      <c r="G102" s="68"/>
      <c r="H102" s="68"/>
    </row>
    <row r="103" spans="1:10" x14ac:dyDescent="0.3">
      <c r="A103" s="65"/>
      <c r="B103" s="65"/>
      <c r="C103" s="65"/>
      <c r="D103" s="65"/>
      <c r="E103" s="65"/>
      <c r="F103" s="66"/>
      <c r="G103" s="68"/>
      <c r="H103" s="68"/>
    </row>
    <row r="104" spans="1:10" x14ac:dyDescent="0.3">
      <c r="A104" s="65"/>
      <c r="B104" s="65"/>
      <c r="C104" s="65"/>
      <c r="D104" s="65"/>
      <c r="E104" s="65"/>
      <c r="F104" s="66"/>
      <c r="G104" s="68"/>
      <c r="H104" s="68"/>
    </row>
    <row r="105" spans="1:10" x14ac:dyDescent="0.3">
      <c r="A105" s="65"/>
      <c r="B105" s="65"/>
      <c r="C105" s="65"/>
      <c r="D105" s="65"/>
      <c r="E105" s="65"/>
      <c r="F105" s="66"/>
      <c r="G105" s="68"/>
      <c r="H105" s="68"/>
    </row>
    <row r="106" spans="1:10" x14ac:dyDescent="0.3">
      <c r="A106" s="65"/>
      <c r="B106" s="65"/>
      <c r="C106" s="65"/>
      <c r="D106" s="65"/>
      <c r="E106" s="65"/>
      <c r="F106" s="66"/>
      <c r="G106" s="68"/>
      <c r="H106" s="68"/>
      <c r="I106" s="69"/>
      <c r="J106" s="69"/>
    </row>
    <row r="107" spans="1:10" x14ac:dyDescent="0.3">
      <c r="A107" s="65"/>
      <c r="B107" s="65"/>
      <c r="C107" s="65"/>
      <c r="D107" s="65"/>
      <c r="E107" s="65"/>
      <c r="F107" s="66"/>
      <c r="G107" s="68"/>
      <c r="H107" s="68"/>
      <c r="I107" s="69"/>
      <c r="J107" s="69"/>
    </row>
    <row r="108" spans="1:10" x14ac:dyDescent="0.3">
      <c r="A108" s="65"/>
      <c r="B108" s="65"/>
      <c r="C108" s="65"/>
      <c r="D108" s="65"/>
      <c r="E108" s="65"/>
      <c r="F108" s="66"/>
      <c r="G108" s="68"/>
      <c r="H108" s="68"/>
      <c r="I108" s="69"/>
      <c r="J108" s="69"/>
    </row>
    <row r="109" spans="1:10" x14ac:dyDescent="0.3">
      <c r="A109" s="65"/>
      <c r="B109" s="65"/>
      <c r="C109" s="65"/>
      <c r="D109" s="65"/>
      <c r="E109" s="65"/>
      <c r="F109" s="66"/>
      <c r="G109" s="68"/>
      <c r="H109" s="68"/>
      <c r="I109" s="69"/>
      <c r="J109" s="69"/>
    </row>
    <row r="110" spans="1:10" x14ac:dyDescent="0.3">
      <c r="A110" s="65"/>
      <c r="B110" s="65"/>
      <c r="C110" s="65"/>
      <c r="D110" s="65"/>
      <c r="E110" s="65"/>
      <c r="F110" s="66"/>
      <c r="G110" s="68"/>
      <c r="H110" s="68"/>
      <c r="I110" s="69"/>
      <c r="J110" s="69"/>
    </row>
    <row r="111" spans="1:10" x14ac:dyDescent="0.3">
      <c r="A111" s="65"/>
      <c r="B111" s="65"/>
      <c r="C111" s="65"/>
      <c r="D111" s="65"/>
      <c r="E111" s="65"/>
      <c r="F111" s="66"/>
      <c r="G111" s="68"/>
      <c r="H111" s="68"/>
      <c r="I111" s="69"/>
      <c r="J111" s="69"/>
    </row>
    <row r="112" spans="1:10" x14ac:dyDescent="0.3">
      <c r="A112" s="65"/>
      <c r="B112" s="65"/>
      <c r="C112" s="65"/>
      <c r="D112" s="65"/>
      <c r="E112" s="65"/>
      <c r="F112" s="66"/>
      <c r="G112" s="68"/>
      <c r="H112" s="68"/>
      <c r="I112" s="69"/>
      <c r="J112" s="69"/>
    </row>
    <row r="113" spans="1:10" x14ac:dyDescent="0.3">
      <c r="A113" s="65"/>
      <c r="B113" s="65"/>
      <c r="C113" s="65"/>
      <c r="D113" s="65"/>
      <c r="E113" s="65"/>
      <c r="F113" s="66"/>
      <c r="G113" s="68"/>
      <c r="H113" s="68"/>
      <c r="I113" s="69"/>
      <c r="J113" s="69"/>
    </row>
    <row r="114" spans="1:10" x14ac:dyDescent="0.3">
      <c r="A114" s="65"/>
      <c r="B114" s="65"/>
      <c r="C114" s="65"/>
      <c r="D114" s="65"/>
      <c r="E114" s="65"/>
      <c r="F114" s="66"/>
      <c r="G114" s="68"/>
      <c r="H114" s="68"/>
      <c r="I114" s="69"/>
      <c r="J114" s="69"/>
    </row>
    <row r="115" spans="1:10" x14ac:dyDescent="0.3">
      <c r="A115" s="65"/>
      <c r="B115" s="65"/>
      <c r="C115" s="65"/>
      <c r="D115" s="65"/>
      <c r="E115" s="65"/>
      <c r="F115" s="66"/>
      <c r="G115" s="68"/>
      <c r="H115" s="68"/>
      <c r="I115" s="69"/>
      <c r="J115" s="69"/>
    </row>
    <row r="116" spans="1:10" x14ac:dyDescent="0.3">
      <c r="A116" s="65"/>
      <c r="B116" s="65"/>
      <c r="C116" s="65"/>
      <c r="D116" s="65"/>
      <c r="E116" s="65"/>
      <c r="F116" s="66"/>
      <c r="G116" s="68"/>
      <c r="H116" s="68"/>
      <c r="I116" s="69"/>
      <c r="J116" s="69"/>
    </row>
    <row r="117" spans="1:10" x14ac:dyDescent="0.3">
      <c r="A117" s="65"/>
      <c r="B117" s="65"/>
      <c r="C117" s="65"/>
      <c r="D117" s="65"/>
      <c r="E117" s="65"/>
      <c r="F117" s="66"/>
      <c r="G117" s="68"/>
      <c r="H117" s="68"/>
      <c r="I117" s="69"/>
      <c r="J117" s="69"/>
    </row>
    <row r="118" spans="1:10" x14ac:dyDescent="0.3">
      <c r="A118" s="65"/>
      <c r="B118" s="65"/>
      <c r="C118" s="65"/>
      <c r="D118" s="65"/>
      <c r="E118" s="65"/>
      <c r="F118" s="66"/>
      <c r="G118" s="68"/>
      <c r="H118" s="68"/>
      <c r="I118" s="69"/>
      <c r="J118" s="69"/>
    </row>
    <row r="119" spans="1:10" ht="49.5" customHeight="1" x14ac:dyDescent="0.3">
      <c r="A119" s="65"/>
      <c r="B119" s="65"/>
      <c r="C119" s="65"/>
      <c r="D119" s="65"/>
      <c r="E119" s="65"/>
      <c r="F119" s="66"/>
      <c r="G119" s="68"/>
      <c r="H119" s="68"/>
      <c r="I119" s="69"/>
      <c r="J119" s="69"/>
    </row>
    <row r="120" spans="1:10" x14ac:dyDescent="0.3">
      <c r="A120" s="65"/>
      <c r="B120" s="65"/>
      <c r="C120" s="65"/>
      <c r="D120" s="65"/>
      <c r="E120" s="65"/>
      <c r="F120" s="66"/>
      <c r="G120" s="68"/>
      <c r="H120" s="68"/>
      <c r="I120" s="69"/>
      <c r="J120" s="69"/>
    </row>
    <row r="121" spans="1:10" x14ac:dyDescent="0.3">
      <c r="A121" s="65"/>
      <c r="B121" s="65"/>
      <c r="C121" s="65"/>
      <c r="D121" s="65"/>
      <c r="E121" s="65"/>
      <c r="F121" s="66"/>
      <c r="G121" s="65"/>
      <c r="H121" s="65"/>
    </row>
    <row r="122" spans="1:10" x14ac:dyDescent="0.3">
      <c r="A122" s="65"/>
      <c r="B122" s="65"/>
      <c r="C122" s="65"/>
      <c r="D122" s="65"/>
      <c r="E122" s="65"/>
      <c r="F122" s="66"/>
      <c r="G122" s="65"/>
      <c r="H122" s="65"/>
    </row>
    <row r="123" spans="1:10" x14ac:dyDescent="0.3">
      <c r="A123" s="65"/>
      <c r="B123" s="65"/>
      <c r="C123" s="65"/>
      <c r="D123" s="65"/>
      <c r="E123" s="65"/>
      <c r="F123" s="66"/>
      <c r="G123" s="65"/>
      <c r="H123" s="65"/>
    </row>
    <row r="124" spans="1:10" x14ac:dyDescent="0.3">
      <c r="A124" s="65"/>
      <c r="B124" s="65"/>
      <c r="C124" s="65"/>
      <c r="D124" s="65"/>
      <c r="E124" s="65"/>
      <c r="F124" s="66"/>
      <c r="G124" s="65"/>
      <c r="H124" s="65"/>
    </row>
    <row r="125" spans="1:10" x14ac:dyDescent="0.3">
      <c r="A125" s="65"/>
      <c r="B125" s="65"/>
      <c r="C125" s="65"/>
      <c r="D125" s="65"/>
      <c r="E125" s="65"/>
      <c r="F125" s="66"/>
      <c r="G125" s="65"/>
      <c r="H125" s="65"/>
    </row>
    <row r="126" spans="1:10" x14ac:dyDescent="0.3">
      <c r="A126" s="65"/>
      <c r="B126" s="65"/>
      <c r="C126" s="65"/>
      <c r="D126" s="65"/>
      <c r="E126" s="65"/>
      <c r="F126" s="66"/>
      <c r="G126" s="65"/>
      <c r="H126" s="65"/>
    </row>
    <row r="127" spans="1:10" x14ac:dyDescent="0.3">
      <c r="A127" s="65"/>
      <c r="B127" s="65"/>
      <c r="C127" s="65"/>
      <c r="D127" s="65"/>
      <c r="E127" s="65"/>
      <c r="F127" s="66"/>
      <c r="G127" s="65"/>
      <c r="H127" s="65"/>
    </row>
    <row r="128" spans="1:10" x14ac:dyDescent="0.3">
      <c r="A128" s="65"/>
      <c r="B128" s="65"/>
      <c r="C128" s="65"/>
      <c r="D128" s="65"/>
      <c r="E128" s="65"/>
      <c r="F128" s="66"/>
      <c r="G128" s="65"/>
      <c r="H128" s="65"/>
    </row>
    <row r="129" spans="1:8" x14ac:dyDescent="0.3">
      <c r="A129" s="65"/>
      <c r="B129" s="65"/>
      <c r="C129" s="65"/>
      <c r="D129" s="65"/>
      <c r="E129" s="65"/>
      <c r="F129" s="66"/>
      <c r="G129" s="65"/>
      <c r="H129" s="65"/>
    </row>
    <row r="130" spans="1:8" x14ac:dyDescent="0.3">
      <c r="A130" s="65"/>
      <c r="B130" s="65"/>
      <c r="C130" s="65"/>
      <c r="D130" s="65"/>
      <c r="E130" s="65"/>
      <c r="F130" s="66"/>
      <c r="G130" s="65"/>
      <c r="H130" s="65"/>
    </row>
    <row r="131" spans="1:8" x14ac:dyDescent="0.3">
      <c r="A131" s="65"/>
      <c r="B131" s="65"/>
      <c r="C131" s="65"/>
      <c r="D131" s="65"/>
      <c r="E131" s="65"/>
      <c r="F131" s="66"/>
      <c r="G131" s="65"/>
      <c r="H131" s="65"/>
    </row>
    <row r="132" spans="1:8" x14ac:dyDescent="0.3">
      <c r="A132" s="65"/>
      <c r="B132" s="65"/>
      <c r="C132" s="65"/>
      <c r="D132" s="65"/>
      <c r="E132" s="65"/>
      <c r="F132" s="66"/>
      <c r="G132" s="65"/>
      <c r="H132" s="65"/>
    </row>
    <row r="133" spans="1:8" x14ac:dyDescent="0.3">
      <c r="A133" s="65"/>
      <c r="B133" s="65"/>
      <c r="C133" s="65"/>
      <c r="D133" s="65"/>
      <c r="E133" s="65"/>
      <c r="F133" s="66"/>
      <c r="G133" s="65"/>
      <c r="H133" s="65"/>
    </row>
    <row r="134" spans="1:8" x14ac:dyDescent="0.3">
      <c r="A134" s="65"/>
      <c r="B134" s="65"/>
      <c r="C134" s="65"/>
      <c r="D134" s="65"/>
      <c r="E134" s="65"/>
      <c r="F134" s="66"/>
      <c r="G134" s="65"/>
      <c r="H134" s="65"/>
    </row>
    <row r="135" spans="1:8" x14ac:dyDescent="0.3">
      <c r="A135" s="65"/>
      <c r="B135" s="65"/>
      <c r="C135" s="65"/>
      <c r="D135" s="65"/>
      <c r="E135" s="65"/>
      <c r="F135" s="66"/>
      <c r="G135" s="65"/>
      <c r="H135" s="65"/>
    </row>
    <row r="136" spans="1:8" x14ac:dyDescent="0.3">
      <c r="A136" s="65"/>
      <c r="B136" s="65"/>
      <c r="C136" s="65"/>
      <c r="D136" s="65"/>
      <c r="E136" s="65"/>
      <c r="F136" s="66"/>
      <c r="G136" s="65"/>
      <c r="H136" s="65"/>
    </row>
    <row r="137" spans="1:8" x14ac:dyDescent="0.3">
      <c r="A137" s="65"/>
      <c r="B137" s="65"/>
      <c r="C137" s="65"/>
      <c r="D137" s="65"/>
      <c r="E137" s="65"/>
      <c r="F137" s="66"/>
      <c r="G137" s="65"/>
      <c r="H137" s="65"/>
    </row>
    <row r="138" spans="1:8" x14ac:dyDescent="0.3">
      <c r="A138" s="65"/>
      <c r="B138" s="65"/>
      <c r="C138" s="65"/>
      <c r="D138" s="65"/>
      <c r="E138" s="65"/>
      <c r="F138" s="66"/>
      <c r="G138" s="65"/>
      <c r="H138" s="65"/>
    </row>
    <row r="139" spans="1:8" x14ac:dyDescent="0.3">
      <c r="A139" s="65"/>
      <c r="B139" s="65"/>
      <c r="C139" s="65"/>
      <c r="D139" s="65"/>
      <c r="E139" s="65"/>
      <c r="F139" s="66"/>
      <c r="G139" s="65"/>
      <c r="H139" s="65"/>
    </row>
    <row r="140" spans="1:8" x14ac:dyDescent="0.3">
      <c r="A140" s="65"/>
      <c r="B140" s="65"/>
      <c r="C140" s="65"/>
      <c r="D140" s="65"/>
      <c r="E140" s="65"/>
      <c r="F140" s="66"/>
      <c r="G140" s="65"/>
      <c r="H140" s="65"/>
    </row>
    <row r="141" spans="1:8" x14ac:dyDescent="0.3">
      <c r="A141" s="65"/>
      <c r="B141" s="65"/>
      <c r="C141" s="65"/>
      <c r="D141" s="65"/>
      <c r="E141" s="65"/>
      <c r="F141" s="66"/>
      <c r="G141" s="65"/>
      <c r="H141" s="65"/>
    </row>
    <row r="142" spans="1:8" x14ac:dyDescent="0.3">
      <c r="A142" s="65"/>
      <c r="B142" s="65"/>
      <c r="C142" s="65"/>
      <c r="D142" s="65"/>
      <c r="E142" s="65"/>
      <c r="F142" s="66"/>
      <c r="G142" s="65"/>
      <c r="H142" s="65"/>
    </row>
    <row r="143" spans="1:8" x14ac:dyDescent="0.3">
      <c r="A143" s="65"/>
      <c r="B143" s="65"/>
      <c r="C143" s="65"/>
      <c r="D143" s="65"/>
      <c r="E143" s="65"/>
      <c r="F143" s="66"/>
      <c r="G143" s="65"/>
      <c r="H143" s="65"/>
    </row>
    <row r="144" spans="1:8" x14ac:dyDescent="0.3">
      <c r="A144" s="65"/>
      <c r="B144" s="65"/>
      <c r="C144" s="65"/>
      <c r="D144" s="65"/>
      <c r="E144" s="65"/>
      <c r="F144" s="66"/>
      <c r="G144" s="65"/>
      <c r="H144" s="65"/>
    </row>
    <row r="145" spans="1:8" x14ac:dyDescent="0.3">
      <c r="A145" s="65"/>
      <c r="B145" s="65"/>
      <c r="C145" s="65"/>
      <c r="D145" s="65"/>
      <c r="E145" s="65"/>
      <c r="F145" s="66"/>
      <c r="G145" s="65"/>
      <c r="H145" s="65"/>
    </row>
    <row r="146" spans="1:8" x14ac:dyDescent="0.3">
      <c r="A146" s="65"/>
      <c r="B146" s="65"/>
      <c r="C146" s="65"/>
      <c r="D146" s="65"/>
      <c r="E146" s="65"/>
      <c r="F146" s="66"/>
      <c r="G146" s="65"/>
      <c r="H146" s="65"/>
    </row>
    <row r="147" spans="1:8" x14ac:dyDescent="0.3">
      <c r="A147" s="65"/>
      <c r="B147" s="65"/>
      <c r="C147" s="65"/>
      <c r="D147" s="65"/>
      <c r="E147" s="65"/>
      <c r="F147" s="66"/>
      <c r="G147" s="65"/>
      <c r="H147" s="65"/>
    </row>
    <row r="148" spans="1:8" x14ac:dyDescent="0.3">
      <c r="A148" s="65"/>
      <c r="B148" s="65"/>
      <c r="C148" s="65"/>
      <c r="D148" s="65"/>
      <c r="E148" s="65"/>
      <c r="F148" s="66"/>
      <c r="G148" s="65"/>
      <c r="H148" s="65"/>
    </row>
    <row r="149" spans="1:8" x14ac:dyDescent="0.3">
      <c r="A149" s="65"/>
      <c r="B149" s="65"/>
      <c r="C149" s="65"/>
      <c r="D149" s="65"/>
      <c r="E149" s="65"/>
      <c r="F149" s="66"/>
      <c r="G149" s="65"/>
      <c r="H149" s="65"/>
    </row>
    <row r="150" spans="1:8" x14ac:dyDescent="0.3">
      <c r="A150" s="65"/>
      <c r="B150" s="65"/>
      <c r="C150" s="65"/>
      <c r="D150" s="65"/>
      <c r="E150" s="65"/>
      <c r="F150" s="66"/>
      <c r="G150" s="65"/>
      <c r="H150" s="65"/>
    </row>
    <row r="151" spans="1:8" x14ac:dyDescent="0.3">
      <c r="F151" s="64"/>
    </row>
    <row r="152" spans="1:8" x14ac:dyDescent="0.3">
      <c r="F152" s="64"/>
    </row>
    <row r="153" spans="1:8" x14ac:dyDescent="0.3">
      <c r="F153" s="64"/>
    </row>
    <row r="154" spans="1:8" x14ac:dyDescent="0.3">
      <c r="F154" s="64"/>
    </row>
    <row r="155" spans="1:8" x14ac:dyDescent="0.3">
      <c r="F155" s="64"/>
    </row>
    <row r="156" spans="1:8" x14ac:dyDescent="0.3">
      <c r="F156" s="64"/>
    </row>
    <row r="157" spans="1:8" x14ac:dyDescent="0.3">
      <c r="F157" s="64"/>
    </row>
    <row r="158" spans="1:8" x14ac:dyDescent="0.3">
      <c r="F158" s="64"/>
    </row>
    <row r="159" spans="1:8" x14ac:dyDescent="0.3">
      <c r="F159" s="64"/>
    </row>
    <row r="160" spans="1:8" x14ac:dyDescent="0.3">
      <c r="F160" s="64"/>
    </row>
    <row r="161" spans="6:6" x14ac:dyDescent="0.3">
      <c r="F161" s="64"/>
    </row>
    <row r="162" spans="6:6" x14ac:dyDescent="0.3">
      <c r="F162" s="64"/>
    </row>
    <row r="163" spans="6:6" x14ac:dyDescent="0.3">
      <c r="F163" s="64"/>
    </row>
    <row r="164" spans="6:6" x14ac:dyDescent="0.3">
      <c r="F164" s="64"/>
    </row>
    <row r="165" spans="6:6" x14ac:dyDescent="0.3">
      <c r="F165" s="64"/>
    </row>
    <row r="166" spans="6:6" x14ac:dyDescent="0.3">
      <c r="F166" s="64"/>
    </row>
    <row r="167" spans="6:6" x14ac:dyDescent="0.3">
      <c r="F167" s="64"/>
    </row>
    <row r="168" spans="6:6" x14ac:dyDescent="0.3">
      <c r="F168" s="64"/>
    </row>
    <row r="169" spans="6:6" x14ac:dyDescent="0.3">
      <c r="F169" s="64"/>
    </row>
    <row r="170" spans="6:6" x14ac:dyDescent="0.3">
      <c r="F170" s="64"/>
    </row>
    <row r="171" spans="6:6" x14ac:dyDescent="0.3">
      <c r="F171" s="64"/>
    </row>
    <row r="172" spans="6:6" x14ac:dyDescent="0.3">
      <c r="F172" s="64"/>
    </row>
    <row r="173" spans="6:6" x14ac:dyDescent="0.3">
      <c r="F173" s="64"/>
    </row>
    <row r="174" spans="6:6" x14ac:dyDescent="0.3">
      <c r="F174" s="64"/>
    </row>
    <row r="175" spans="6:6" x14ac:dyDescent="0.3">
      <c r="F175" s="64"/>
    </row>
    <row r="176" spans="6:6" x14ac:dyDescent="0.3">
      <c r="F176" s="64"/>
    </row>
    <row r="177" spans="6:6" x14ac:dyDescent="0.3">
      <c r="F177" s="64"/>
    </row>
    <row r="178" spans="6:6" x14ac:dyDescent="0.3">
      <c r="F178" s="64"/>
    </row>
    <row r="179" spans="6:6" x14ac:dyDescent="0.3">
      <c r="F179" s="64"/>
    </row>
    <row r="180" spans="6:6" x14ac:dyDescent="0.3">
      <c r="F180" s="64"/>
    </row>
    <row r="181" spans="6:6" x14ac:dyDescent="0.3">
      <c r="F181" s="64"/>
    </row>
    <row r="182" spans="6:6" x14ac:dyDescent="0.3">
      <c r="F182" s="64"/>
    </row>
    <row r="183" spans="6:6" x14ac:dyDescent="0.3">
      <c r="F183" s="64"/>
    </row>
    <row r="184" spans="6:6" x14ac:dyDescent="0.3">
      <c r="F184" s="64"/>
    </row>
    <row r="185" spans="6:6" x14ac:dyDescent="0.3">
      <c r="F185" s="64"/>
    </row>
    <row r="186" spans="6:6" x14ac:dyDescent="0.3">
      <c r="F186" s="64"/>
    </row>
    <row r="187" spans="6:6" x14ac:dyDescent="0.3">
      <c r="F187" s="64"/>
    </row>
    <row r="188" spans="6:6" x14ac:dyDescent="0.3">
      <c r="F188" s="64"/>
    </row>
    <row r="189" spans="6:6" x14ac:dyDescent="0.3">
      <c r="F189" s="64"/>
    </row>
    <row r="190" spans="6:6" x14ac:dyDescent="0.3">
      <c r="F190" s="64"/>
    </row>
    <row r="191" spans="6:6" x14ac:dyDescent="0.3">
      <c r="F191" s="64"/>
    </row>
    <row r="192" spans="6:6" x14ac:dyDescent="0.3">
      <c r="F192" s="64"/>
    </row>
    <row r="193" spans="6:6" x14ac:dyDescent="0.3">
      <c r="F193" s="64"/>
    </row>
    <row r="194" spans="6:6" x14ac:dyDescent="0.3">
      <c r="F194" s="64"/>
    </row>
    <row r="195" spans="6:6" x14ac:dyDescent="0.3">
      <c r="F195" s="64"/>
    </row>
    <row r="196" spans="6:6" x14ac:dyDescent="0.3">
      <c r="F196" s="64"/>
    </row>
    <row r="197" spans="6:6" x14ac:dyDescent="0.3">
      <c r="F197" s="64"/>
    </row>
    <row r="198" spans="6:6" x14ac:dyDescent="0.3">
      <c r="F198" s="64"/>
    </row>
    <row r="199" spans="6:6" x14ac:dyDescent="0.3">
      <c r="F199" s="64"/>
    </row>
    <row r="200" spans="6:6" x14ac:dyDescent="0.3">
      <c r="F200" s="64"/>
    </row>
  </sheetData>
  <mergeCells count="20">
    <mergeCell ref="A6:F6"/>
    <mergeCell ref="G6:J6"/>
    <mergeCell ref="I4:J4"/>
    <mergeCell ref="A5:B5"/>
    <mergeCell ref="C5:D5"/>
    <mergeCell ref="E5:F5"/>
    <mergeCell ref="G5:H5"/>
    <mergeCell ref="I5:J5"/>
    <mergeCell ref="A1:J1"/>
    <mergeCell ref="A2:F2"/>
    <mergeCell ref="G2:J2"/>
    <mergeCell ref="A3:B3"/>
    <mergeCell ref="A4:B4"/>
    <mergeCell ref="C3:D3"/>
    <mergeCell ref="C4:D4"/>
    <mergeCell ref="E3:F3"/>
    <mergeCell ref="E4:F4"/>
    <mergeCell ref="G3:H3"/>
    <mergeCell ref="G4:H4"/>
    <mergeCell ref="I3:J3"/>
  </mergeCells>
  <conditionalFormatting sqref="G4">
    <cfRule type="colorScale" priority="1">
      <colorScale>
        <cfvo type="num" val="0"/>
        <cfvo type="num" val="20"/>
        <cfvo type="num" val="77"/>
        <color rgb="FFE2EFDA"/>
        <color rgb="FFFFEB9C"/>
        <color rgb="FFFF0000"/>
      </colorScale>
    </cfRule>
  </conditionalFormatting>
  <conditionalFormatting sqref="I4">
    <cfRule type="colorScale" priority="2">
      <colorScale>
        <cfvo type="num" val="0"/>
        <cfvo type="num" val="0.5"/>
        <cfvo type="num" val="1"/>
        <color rgb="FFFFE0E0"/>
        <color rgb="FFFFEB9C"/>
        <color rgb="FFE2EFDA"/>
      </colorScale>
    </cfRule>
  </conditionalFormatting>
  <conditionalFormatting sqref="C4">
    <cfRule type="colorScale" priority="3">
      <colorScale>
        <cfvo type="num" val="0"/>
        <cfvo type="num" val="15"/>
        <cfvo type="num" val="30"/>
        <color rgb="FFFFFFFF"/>
        <color rgb="FFC6EFCE"/>
        <color rgb="FF375623"/>
      </colorScale>
    </cfRule>
  </conditionalFormatting>
  <pageMargins left="0.75" right="0.75" top="1" bottom="1" header="0.511811023622047" footer="0.511811023622047"/>
  <pageSetup paperSize="9" orientation="portrait" horizontalDpi="300" verticalDpi="300"/>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AQ121"/>
  <sheetViews>
    <sheetView topLeftCell="Y1" zoomScale="90" zoomScaleNormal="100" workbookViewId="0">
      <selection activeCell="S21" sqref="S21"/>
    </sheetView>
  </sheetViews>
  <sheetFormatPr defaultColWidth="8.6640625" defaultRowHeight="14.4" x14ac:dyDescent="0.3"/>
  <cols>
    <col min="1" max="8" width="22" customWidth="1"/>
    <col min="9" max="11" width="17" customWidth="1"/>
    <col min="12" max="12" width="16.44140625" bestFit="1" customWidth="1"/>
    <col min="13" max="21" width="22" customWidth="1"/>
    <col min="22" max="22" width="16.6640625" bestFit="1" customWidth="1"/>
    <col min="23" max="25" width="22" customWidth="1"/>
    <col min="26" max="26" width="18" customWidth="1"/>
    <col min="27" max="27" width="22" customWidth="1"/>
    <col min="28" max="28" width="18" customWidth="1"/>
    <col min="29" max="29" width="22" customWidth="1"/>
    <col min="30" max="30" width="18" customWidth="1"/>
    <col min="31" max="31" width="22.109375" bestFit="1" customWidth="1"/>
    <col min="32" max="32" width="18" customWidth="1"/>
    <col min="33" max="35" width="22" customWidth="1"/>
    <col min="36" max="36" width="18" customWidth="1"/>
    <col min="37" max="41" width="22" customWidth="1"/>
    <col min="42" max="42" width="19.5546875" bestFit="1" customWidth="1"/>
    <col min="43" max="43" width="22" customWidth="1"/>
  </cols>
  <sheetData>
    <row r="1" spans="1:43" ht="27.6" x14ac:dyDescent="0.3">
      <c r="A1" s="1" t="s">
        <v>0</v>
      </c>
      <c r="B1" s="1" t="s">
        <v>1</v>
      </c>
      <c r="C1" s="1" t="s">
        <v>2</v>
      </c>
      <c r="D1" s="1" t="s">
        <v>3</v>
      </c>
      <c r="E1" s="1" t="s">
        <v>4</v>
      </c>
      <c r="F1" s="1" t="s">
        <v>5</v>
      </c>
      <c r="G1" s="1" t="s">
        <v>6</v>
      </c>
      <c r="H1" s="1" t="s">
        <v>10</v>
      </c>
      <c r="I1" s="1" t="s">
        <v>7</v>
      </c>
      <c r="J1" s="1" t="s">
        <v>8</v>
      </c>
      <c r="K1" s="1" t="s">
        <v>9</v>
      </c>
      <c r="L1" s="1" t="s">
        <v>339</v>
      </c>
      <c r="M1" s="1" t="s">
        <v>340</v>
      </c>
      <c r="N1" s="1" t="s">
        <v>341</v>
      </c>
      <c r="O1" s="1" t="s">
        <v>342</v>
      </c>
      <c r="P1" s="1" t="s">
        <v>343</v>
      </c>
      <c r="Q1" s="1" t="s">
        <v>344</v>
      </c>
      <c r="R1" s="1" t="s">
        <v>367</v>
      </c>
      <c r="S1" s="1" t="s">
        <v>12</v>
      </c>
      <c r="T1" s="1" t="s">
        <v>13</v>
      </c>
      <c r="U1" s="1" t="s">
        <v>14</v>
      </c>
      <c r="V1" s="1" t="s">
        <v>335</v>
      </c>
      <c r="W1" s="1" t="s">
        <v>336</v>
      </c>
      <c r="X1" s="1" t="s">
        <v>337</v>
      </c>
      <c r="Y1" s="1" t="s">
        <v>338</v>
      </c>
      <c r="Z1" s="1" t="s">
        <v>332</v>
      </c>
      <c r="AA1" s="1" t="s">
        <v>368</v>
      </c>
      <c r="AB1" s="1" t="s">
        <v>333</v>
      </c>
      <c r="AC1" s="1" t="s">
        <v>369</v>
      </c>
      <c r="AD1" s="1" t="s">
        <v>334</v>
      </c>
      <c r="AE1" s="1" t="s">
        <v>370</v>
      </c>
      <c r="AF1" s="1" t="s">
        <v>345</v>
      </c>
      <c r="AG1" s="1" t="s">
        <v>371</v>
      </c>
      <c r="AH1" s="1" t="s">
        <v>346</v>
      </c>
      <c r="AI1" s="1" t="s">
        <v>372</v>
      </c>
      <c r="AJ1" s="1" t="s">
        <v>347</v>
      </c>
      <c r="AK1" s="1" t="s">
        <v>373</v>
      </c>
      <c r="AL1" s="1" t="s">
        <v>348</v>
      </c>
      <c r="AM1" s="1" t="s">
        <v>374</v>
      </c>
      <c r="AN1" s="1" t="s">
        <v>349</v>
      </c>
      <c r="AO1" s="1" t="s">
        <v>375</v>
      </c>
      <c r="AP1" s="1" t="s">
        <v>350</v>
      </c>
      <c r="AQ1" s="1" t="s">
        <v>376</v>
      </c>
    </row>
    <row r="2" spans="1:43" x14ac:dyDescent="0.3">
      <c r="A2" s="2" t="str">
        <f>IF(Clean_Data!A2="","Unknown",Clean_Data!A2)</f>
        <v>TSK-0001</v>
      </c>
      <c r="B2" s="2" t="str">
        <f>IF(Clean_Data!B2="","Unknown",Clean_Data!B2)</f>
        <v>CRM Migration</v>
      </c>
      <c r="C2" s="2" t="str">
        <f>IF(Clean_Data!C2="","Unknown",Clean_Data!C2)</f>
        <v>IT</v>
      </c>
      <c r="D2" s="2" t="str">
        <f>IF(Clean_Data!D2="","Unknown",Clean_Data!D2)</f>
        <v>Pooja Reddy</v>
      </c>
      <c r="E2" s="2" t="str">
        <f>IF(Clean_Data!E2="","Unknown",Clean_Data!E2)</f>
        <v>Manager</v>
      </c>
      <c r="F2" s="2" t="str">
        <f>IF(Clean_Data!F2="","Unknown",Clean_Data!F2)</f>
        <v>High</v>
      </c>
      <c r="G2" s="2" t="str">
        <f>IF(Clean_Data!G2="","Unknown",Clean_Data!G2)</f>
        <v>Research</v>
      </c>
      <c r="H2" s="2" t="str">
        <f>IF(Clean_Data!K2="","Unknown",Clean_Data!K2)</f>
        <v>Completed</v>
      </c>
      <c r="I2" s="10">
        <f>Clean_Data!H2</f>
        <v>45367</v>
      </c>
      <c r="J2" s="10">
        <f>Clean_Data!I2</f>
        <v>45419</v>
      </c>
      <c r="K2" s="10">
        <f>Clean_Data!J2</f>
        <v>45430</v>
      </c>
      <c r="L2" s="2" t="str">
        <f>IF(Calc_Helper!I2="","Unknown",Calc_Helper!I2)</f>
        <v>2024-05</v>
      </c>
      <c r="M2" s="2" t="str">
        <f>IF(Calc_Helper!J2="","Unknown",Calc_Helper!J2)</f>
        <v>2024-03</v>
      </c>
      <c r="N2" s="2" t="str">
        <f>IF(Calc_Helper!K2="","",Calc_Helper!K2)</f>
        <v>2024-05</v>
      </c>
      <c r="O2" s="2">
        <f>IFERROR(Calc_Helper!L2,"")</f>
        <v>2024</v>
      </c>
      <c r="P2" s="2">
        <f>IFERROR(Calc_Helper!M2,"")</f>
        <v>3</v>
      </c>
      <c r="Q2" s="2" t="str">
        <f>IF(Calc_Helper!N2="","Unknown",Calc_Helper!N2)</f>
        <v>March</v>
      </c>
      <c r="R2" s="15">
        <f>IFERROR(IF(ISNUMBER(Clean_Data!L2),Clean_Data!L2,0),0)</f>
        <v>1</v>
      </c>
      <c r="S2" s="16">
        <f>IFERROR(IF(ISNUMBER(Clean_Data!M2),Clean_Data!M2,0),0)</f>
        <v>10.6</v>
      </c>
      <c r="T2" s="16">
        <f>IF(Clean_Data!N2="","",IFERROR(IF(ISNUMBER(Clean_Data!N2),Clean_Data!N2,""),""))</f>
        <v>12.5</v>
      </c>
      <c r="U2" s="16">
        <f>IFERROR(IF(ISNUMBER(Clean_Data!O2),Clean_Data!O2,0),0)</f>
        <v>1.9000000000000004</v>
      </c>
      <c r="V2" s="2">
        <f ca="1">IFERROR(IF(ISNUMBER(Calc_Helper!E2),Calc_Helper!E2,0),0)</f>
        <v>0</v>
      </c>
      <c r="W2" s="2">
        <f ca="1">IFERROR(IF(ISNUMBER(Calc_Helper!F2),Calc_Helper!F2,0),0)</f>
        <v>11</v>
      </c>
      <c r="X2" s="2">
        <f>IFERROR(IF(ISNUMBER(Calc_Helper!G2),Calc_Helper!G2,0),0)</f>
        <v>63</v>
      </c>
      <c r="Y2" s="2">
        <f ca="1">IFERROR(IF(ISNUMBER(Calc_Helper!H2),Calc_Helper!H2,0),0)</f>
        <v>63</v>
      </c>
      <c r="Z2" s="19" t="b">
        <f>Calc_Helper!B2</f>
        <v>1</v>
      </c>
      <c r="AA2" s="2">
        <f>IF(Calc_Helper!B2=TRUE(),1,0)</f>
        <v>1</v>
      </c>
      <c r="AB2" s="19" t="b">
        <f>Calc_Helper!C2</f>
        <v>0</v>
      </c>
      <c r="AC2" s="2">
        <f>IF(Calc_Helper!C2=TRUE(),1,0)</f>
        <v>0</v>
      </c>
      <c r="AD2" s="19" t="b">
        <f ca="1">Calc_Helper!D2</f>
        <v>0</v>
      </c>
      <c r="AE2" s="2">
        <f ca="1">IF(Calc_Helper!D2=TRUE(),1,0)</f>
        <v>0</v>
      </c>
      <c r="AF2" s="19" t="b">
        <f ca="1">Calc_Helper!O2</f>
        <v>0</v>
      </c>
      <c r="AG2" s="2">
        <f ca="1">IF(Calc_Helper!O2=TRUE(),1,0)</f>
        <v>0</v>
      </c>
      <c r="AH2" s="19" t="b">
        <f>Calc_Helper!P2</f>
        <v>0</v>
      </c>
      <c r="AI2" s="2">
        <f>IF(Calc_Helper!P2=TRUE(),1,0)</f>
        <v>0</v>
      </c>
      <c r="AJ2" s="19" t="b">
        <f ca="1">Calc_Helper!Q2</f>
        <v>0</v>
      </c>
      <c r="AK2" s="2">
        <f ca="1">IF(Calc_Helper!Q2=TRUE(),1,0)</f>
        <v>0</v>
      </c>
      <c r="AL2" s="19" t="b">
        <f ca="1">Calc_Helper!R2</f>
        <v>0</v>
      </c>
      <c r="AM2" s="2">
        <f ca="1">IF(Calc_Helper!R2=TRUE(),1,0)</f>
        <v>0</v>
      </c>
      <c r="AN2" s="2" t="str">
        <f>IF(Calc_Helper!S2="","Unknown",Calc_Helper!S2)</f>
        <v>Healthy</v>
      </c>
      <c r="AO2" s="2">
        <f>IF(OR(Calc_Helper!S2="Healthy",Calc_Helper!S2="On Track"),1,0)</f>
        <v>1</v>
      </c>
      <c r="AP2" s="19" t="b">
        <f>IFERROR(IF(Calc_Helper!T2="","",Calc_Helper!T2),"")</f>
        <v>0</v>
      </c>
      <c r="AQ2" s="2">
        <f>IF(Calc_Helper!T2=TRUE(),1,0)</f>
        <v>0</v>
      </c>
    </row>
    <row r="3" spans="1:43" x14ac:dyDescent="0.3">
      <c r="A3" s="5" t="str">
        <f>IF(Clean_Data!A3="","Unknown",Clean_Data!A3)</f>
        <v>TSK-0002</v>
      </c>
      <c r="B3" s="5" t="str">
        <f>IF(Clean_Data!B3="","Unknown",Clean_Data!B3)</f>
        <v>Product Launch</v>
      </c>
      <c r="C3" s="5" t="str">
        <f>IF(Clean_Data!C3="","Unknown",Clean_Data!C3)</f>
        <v>Sales</v>
      </c>
      <c r="D3" s="5" t="str">
        <f>IF(Clean_Data!D3="","Unknown",Clean_Data!D3)</f>
        <v>Ananya Das</v>
      </c>
      <c r="E3" s="5" t="str">
        <f>IF(Clean_Data!E3="","Unknown",Clean_Data!E3)</f>
        <v>Analyst</v>
      </c>
      <c r="F3" s="5" t="str">
        <f>IF(Clean_Data!F3="","Unknown",Clean_Data!F3)</f>
        <v>Low</v>
      </c>
      <c r="G3" s="5" t="str">
        <f>IF(Clean_Data!G3="","Unknown",Clean_Data!G3)</f>
        <v>Design</v>
      </c>
      <c r="H3" s="5" t="str">
        <f>IF(Clean_Data!K3="","Unknown",Clean_Data!K3)</f>
        <v>On Hold</v>
      </c>
      <c r="I3" s="13">
        <f>Clean_Data!H3</f>
        <v>45662</v>
      </c>
      <c r="J3" s="13">
        <f>Clean_Data!I3</f>
        <v>45708</v>
      </c>
      <c r="K3" s="13" t="str">
        <f>Clean_Data!J3</f>
        <v/>
      </c>
      <c r="L3" s="5" t="str">
        <f>IF(Calc_Helper!I3="","Unknown",Calc_Helper!I3)</f>
        <v>2025-02</v>
      </c>
      <c r="M3" s="5" t="str">
        <f>IF(Calc_Helper!J3="","Unknown",Calc_Helper!J3)</f>
        <v>2025-01</v>
      </c>
      <c r="N3" s="19" t="str">
        <f>IF(Calc_Helper!K3="","",Calc_Helper!K3)</f>
        <v/>
      </c>
      <c r="O3" s="5">
        <f>IFERROR(Calc_Helper!L3,"")</f>
        <v>2025</v>
      </c>
      <c r="P3" s="5">
        <f>IFERROR(Calc_Helper!M3,"")</f>
        <v>1</v>
      </c>
      <c r="Q3" s="5" t="str">
        <f>IF(Calc_Helper!N3="","Unknown",Calc_Helper!N3)</f>
        <v>January</v>
      </c>
      <c r="R3" s="17">
        <f>IFERROR(IF(ISNUMBER(Clean_Data!L3),Clean_Data!L3,0),0)</f>
        <v>0</v>
      </c>
      <c r="S3" s="18">
        <f>IFERROR(IF(ISNUMBER(Clean_Data!M3),Clean_Data!M3,0),0)</f>
        <v>48.8</v>
      </c>
      <c r="T3" s="16" t="str">
        <f>IF(Clean_Data!N3="","",IFERROR(IF(ISNUMBER(Clean_Data!N3),Clean_Data!N3,""),""))</f>
        <v/>
      </c>
      <c r="U3" s="18">
        <f>IFERROR(IF(ISNUMBER(Clean_Data!O3),Clean_Data!O3,0),0)</f>
        <v>0</v>
      </c>
      <c r="V3" s="5">
        <f ca="1">IFERROR(IF(ISNUMBER(Calc_Helper!E3),Calc_Helper!E3,0),0)</f>
        <v>464</v>
      </c>
      <c r="W3" s="5">
        <f ca="1">IFERROR(IF(ISNUMBER(Calc_Helper!F3),Calc_Helper!F3,0),0)</f>
        <v>418</v>
      </c>
      <c r="X3" s="5">
        <f>IFERROR(IF(ISNUMBER(Calc_Helper!G3),Calc_Helper!G3,0),0)</f>
        <v>0</v>
      </c>
      <c r="Y3" s="5">
        <f ca="1">IFERROR(IF(ISNUMBER(Calc_Helper!H3),Calc_Helper!H3,0),0)</f>
        <v>464</v>
      </c>
      <c r="Z3" s="20" t="b">
        <f>Calc_Helper!B3</f>
        <v>0</v>
      </c>
      <c r="AA3" s="5">
        <f>IF(Calc_Helper!B3=TRUE(),1,0)</f>
        <v>0</v>
      </c>
      <c r="AB3" s="20" t="b">
        <f>Calc_Helper!C3</f>
        <v>1</v>
      </c>
      <c r="AC3" s="5">
        <f>IF(Calc_Helper!C3=TRUE(),1,0)</f>
        <v>1</v>
      </c>
      <c r="AD3" s="20" t="b">
        <f ca="1">Calc_Helper!D3</f>
        <v>1</v>
      </c>
      <c r="AE3" s="5">
        <f ca="1">IF(Calc_Helper!D3=TRUE(),1,0)</f>
        <v>1</v>
      </c>
      <c r="AF3" s="20" t="b">
        <f ca="1">Calc_Helper!O3</f>
        <v>1</v>
      </c>
      <c r="AG3" s="5">
        <f ca="1">IF(Calc_Helper!O3=TRUE(),1,0)</f>
        <v>1</v>
      </c>
      <c r="AH3" s="20" t="b">
        <f>Calc_Helper!P3</f>
        <v>0</v>
      </c>
      <c r="AI3" s="5">
        <f>IF(Calc_Helper!P3=TRUE(),1,0)</f>
        <v>0</v>
      </c>
      <c r="AJ3" s="20" t="b">
        <f ca="1">Calc_Helper!Q3</f>
        <v>0</v>
      </c>
      <c r="AK3" s="5">
        <f ca="1">IF(Calc_Helper!Q3=TRUE(),1,0)</f>
        <v>0</v>
      </c>
      <c r="AL3" s="20" t="b">
        <f ca="1">Calc_Helper!R3</f>
        <v>0</v>
      </c>
      <c r="AM3" s="5">
        <f ca="1">IF(Calc_Helper!R3=TRUE(),1,0)</f>
        <v>0</v>
      </c>
      <c r="AN3" s="5" t="str">
        <f>IF(Calc_Helper!S3="","Unknown",Calc_Helper!S3)</f>
        <v>N/A</v>
      </c>
      <c r="AO3" s="5">
        <f>IF(OR(Calc_Helper!S3="Healthy",Calc_Helper!S3="On Track"),1,0)</f>
        <v>0</v>
      </c>
      <c r="AP3" s="5" t="str">
        <f>IFERROR(IF(Calc_Helper!T3="","",Calc_Helper!T3),"")</f>
        <v/>
      </c>
      <c r="AQ3" s="5">
        <f>IF(Calc_Helper!T3=TRUE(),1,0)</f>
        <v>0</v>
      </c>
    </row>
    <row r="4" spans="1:43" x14ac:dyDescent="0.3">
      <c r="A4" s="2" t="str">
        <f>IF(Clean_Data!A4="","Unknown",Clean_Data!A4)</f>
        <v>TSK-0003</v>
      </c>
      <c r="B4" s="2" t="str">
        <f>IF(Clean_Data!B4="","Unknown",Clean_Data!B4)</f>
        <v>Marketing Campaign</v>
      </c>
      <c r="C4" s="2" t="str">
        <f>IF(Clean_Data!C4="","Unknown",Clean_Data!C4)</f>
        <v>HR</v>
      </c>
      <c r="D4" s="2" t="str">
        <f>IF(Clean_Data!D4="","Unknown",Clean_Data!D4)</f>
        <v>Vikram Singh</v>
      </c>
      <c r="E4" s="2" t="str">
        <f>IF(Clean_Data!E4="","Unknown",Clean_Data!E4)</f>
        <v>Developer</v>
      </c>
      <c r="F4" s="2" t="str">
        <f>IF(Clean_Data!F4="","Unknown",Clean_Data!F4)</f>
        <v>High</v>
      </c>
      <c r="G4" s="2" t="str">
        <f>IF(Clean_Data!G4="","Unknown",Clean_Data!G4)</f>
        <v>Planning</v>
      </c>
      <c r="H4" s="2" t="str">
        <f>IF(Clean_Data!K4="","Unknown",Clean_Data!K4)</f>
        <v>On Hold</v>
      </c>
      <c r="I4" s="10">
        <f>Clean_Data!H4</f>
        <v>45348</v>
      </c>
      <c r="J4" s="10">
        <f>Clean_Data!I4</f>
        <v>45358</v>
      </c>
      <c r="K4" s="10" t="str">
        <f>Clean_Data!J4</f>
        <v/>
      </c>
      <c r="L4" s="2" t="str">
        <f>IF(Calc_Helper!I4="","Unknown",Calc_Helper!I4)</f>
        <v>2024-03</v>
      </c>
      <c r="M4" s="2" t="str">
        <f>IF(Calc_Helper!J4="","Unknown",Calc_Helper!J4)</f>
        <v>2024-02</v>
      </c>
      <c r="N4" s="19" t="str">
        <f>IF(Calc_Helper!K4="","",Calc_Helper!K4)</f>
        <v/>
      </c>
      <c r="O4" s="2">
        <f>IFERROR(Calc_Helper!L4,"")</f>
        <v>2024</v>
      </c>
      <c r="P4" s="2">
        <f>IFERROR(Calc_Helper!M4,"")</f>
        <v>2</v>
      </c>
      <c r="Q4" s="2" t="str">
        <f>IF(Calc_Helper!N4="","Unknown",Calc_Helper!N4)</f>
        <v>February</v>
      </c>
      <c r="R4" s="15">
        <f>IFERROR(IF(ISNUMBER(Clean_Data!L4),Clean_Data!L4,0),0)</f>
        <v>0</v>
      </c>
      <c r="S4" s="16">
        <f>IFERROR(IF(ISNUMBER(Clean_Data!M4),Clean_Data!M4,0),0)</f>
        <v>68.400000000000006</v>
      </c>
      <c r="T4" s="16" t="str">
        <f>IF(Clean_Data!N4="","",IFERROR(IF(ISNUMBER(Clean_Data!N4),Clean_Data!N4,""),""))</f>
        <v/>
      </c>
      <c r="U4" s="16">
        <f>IFERROR(IF(ISNUMBER(Clean_Data!O4),Clean_Data!O4,0),0)</f>
        <v>0</v>
      </c>
      <c r="V4" s="2">
        <f ca="1">IFERROR(IF(ISNUMBER(Calc_Helper!E4),Calc_Helper!E4,0),0)</f>
        <v>778</v>
      </c>
      <c r="W4" s="2">
        <f ca="1">IFERROR(IF(ISNUMBER(Calc_Helper!F4),Calc_Helper!F4,0),0)</f>
        <v>768</v>
      </c>
      <c r="X4" s="2">
        <f>IFERROR(IF(ISNUMBER(Calc_Helper!G4),Calc_Helper!G4,0),0)</f>
        <v>0</v>
      </c>
      <c r="Y4" s="2">
        <f ca="1">IFERROR(IF(ISNUMBER(Calc_Helper!H4),Calc_Helper!H4,0),0)</f>
        <v>778</v>
      </c>
      <c r="Z4" s="19" t="b">
        <f>Calc_Helper!B4</f>
        <v>0</v>
      </c>
      <c r="AA4" s="2">
        <f>IF(Calc_Helper!B4=TRUE(),1,0)</f>
        <v>0</v>
      </c>
      <c r="AB4" s="19" t="b">
        <f>Calc_Helper!C4</f>
        <v>1</v>
      </c>
      <c r="AC4" s="2">
        <f>IF(Calc_Helper!C4=TRUE(),1,0)</f>
        <v>1</v>
      </c>
      <c r="AD4" s="19" t="b">
        <f ca="1">Calc_Helper!D4</f>
        <v>1</v>
      </c>
      <c r="AE4" s="2">
        <f ca="1">IF(Calc_Helper!D4=TRUE(),1,0)</f>
        <v>1</v>
      </c>
      <c r="AF4" s="19" t="b">
        <f ca="1">Calc_Helper!O4</f>
        <v>1</v>
      </c>
      <c r="AG4" s="2">
        <f ca="1">IF(Calc_Helper!O4=TRUE(),1,0)</f>
        <v>1</v>
      </c>
      <c r="AH4" s="19" t="b">
        <f>Calc_Helper!P4</f>
        <v>1</v>
      </c>
      <c r="AI4" s="2">
        <f>IF(Calc_Helper!P4=TRUE(),1,0)</f>
        <v>1</v>
      </c>
      <c r="AJ4" s="19" t="b">
        <f ca="1">Calc_Helper!Q4</f>
        <v>1</v>
      </c>
      <c r="AK4" s="2">
        <f ca="1">IF(Calc_Helper!Q4=TRUE(),1,0)</f>
        <v>1</v>
      </c>
      <c r="AL4" s="19" t="b">
        <f ca="1">Calc_Helper!R4</f>
        <v>0</v>
      </c>
      <c r="AM4" s="2">
        <f ca="1">IF(Calc_Helper!R4=TRUE(),1,0)</f>
        <v>0</v>
      </c>
      <c r="AN4" s="2" t="str">
        <f>IF(Calc_Helper!S4="","Unknown",Calc_Helper!S4)</f>
        <v>N/A</v>
      </c>
      <c r="AO4" s="2">
        <f>IF(OR(Calc_Helper!S4="Healthy",Calc_Helper!S4="On Track"),1,0)</f>
        <v>0</v>
      </c>
      <c r="AP4" s="2" t="str">
        <f>IFERROR(IF(Calc_Helper!T4="","",Calc_Helper!T4),"")</f>
        <v/>
      </c>
      <c r="AQ4" s="2">
        <f>IF(Calc_Helper!T4=TRUE(),1,0)</f>
        <v>0</v>
      </c>
    </row>
    <row r="5" spans="1:43" x14ac:dyDescent="0.3">
      <c r="A5" s="5" t="str">
        <f>IF(Clean_Data!A5="","Unknown",Clean_Data!A5)</f>
        <v>TSK-0004</v>
      </c>
      <c r="B5" s="5" t="str">
        <f>IF(Clean_Data!B5="","Unknown",Clean_Data!B5)</f>
        <v>Data Analytics Platform</v>
      </c>
      <c r="C5" s="5" t="str">
        <f>IF(Clean_Data!C5="","Unknown",Clean_Data!C5)</f>
        <v>Finance</v>
      </c>
      <c r="D5" s="5" t="str">
        <f>IF(Clean_Data!D5="","Unknown",Clean_Data!D5)</f>
        <v>Karan Malhotra</v>
      </c>
      <c r="E5" s="5" t="str">
        <f>IF(Clean_Data!E5="","Unknown",Clean_Data!E5)</f>
        <v>Tester</v>
      </c>
      <c r="F5" s="5" t="str">
        <f>IF(Clean_Data!F5="","Unknown",Clean_Data!F5)</f>
        <v>High</v>
      </c>
      <c r="G5" s="5" t="str">
        <f>IF(Clean_Data!G5="","Unknown",Clean_Data!G5)</f>
        <v>Planning</v>
      </c>
      <c r="H5" s="5" t="str">
        <f>IF(Clean_Data!K5="","Unknown",Clean_Data!K5)</f>
        <v>Not Started</v>
      </c>
      <c r="I5" s="13">
        <f>Clean_Data!H5</f>
        <v>45617</v>
      </c>
      <c r="J5" s="13">
        <f>Clean_Data!I5</f>
        <v>45661</v>
      </c>
      <c r="K5" s="13" t="str">
        <f>Clean_Data!J5</f>
        <v/>
      </c>
      <c r="L5" s="5" t="str">
        <f>IF(Calc_Helper!I5="","Unknown",Calc_Helper!I5)</f>
        <v>2025-01</v>
      </c>
      <c r="M5" s="5" t="str">
        <f>IF(Calc_Helper!J5="","Unknown",Calc_Helper!J5)</f>
        <v>2024-11</v>
      </c>
      <c r="N5" s="19" t="str">
        <f>IF(Calc_Helper!K5="","",Calc_Helper!K5)</f>
        <v/>
      </c>
      <c r="O5" s="5">
        <f>IFERROR(Calc_Helper!L5,"")</f>
        <v>2024</v>
      </c>
      <c r="P5" s="5">
        <f>IFERROR(Calc_Helper!M5,"")</f>
        <v>11</v>
      </c>
      <c r="Q5" s="5" t="str">
        <f>IF(Calc_Helper!N5="","Unknown",Calc_Helper!N5)</f>
        <v>November</v>
      </c>
      <c r="R5" s="17">
        <f>IFERROR(IF(ISNUMBER(Clean_Data!L5),Clean_Data!L5,0),0)</f>
        <v>0</v>
      </c>
      <c r="S5" s="18">
        <f>IFERROR(IF(ISNUMBER(Clean_Data!M5),Clean_Data!M5,0),0)</f>
        <v>18.600000000000001</v>
      </c>
      <c r="T5" s="16" t="str">
        <f>IF(Clean_Data!N5="","",IFERROR(IF(ISNUMBER(Clean_Data!N5),Clean_Data!N5,""),""))</f>
        <v/>
      </c>
      <c r="U5" s="18">
        <f>IFERROR(IF(ISNUMBER(Clean_Data!O5),Clean_Data!O5,0),0)</f>
        <v>0</v>
      </c>
      <c r="V5" s="5">
        <f ca="1">IFERROR(IF(ISNUMBER(Calc_Helper!E5),Calc_Helper!E5,0),0)</f>
        <v>509</v>
      </c>
      <c r="W5" s="5">
        <f ca="1">IFERROR(IF(ISNUMBER(Calc_Helper!F5),Calc_Helper!F5,0),0)</f>
        <v>465</v>
      </c>
      <c r="X5" s="5">
        <f>IFERROR(IF(ISNUMBER(Calc_Helper!G5),Calc_Helper!G5,0),0)</f>
        <v>0</v>
      </c>
      <c r="Y5" s="5">
        <f ca="1">IFERROR(IF(ISNUMBER(Calc_Helper!H5),Calc_Helper!H5,0),0)</f>
        <v>509</v>
      </c>
      <c r="Z5" s="20" t="b">
        <f>Calc_Helper!B5</f>
        <v>0</v>
      </c>
      <c r="AA5" s="5">
        <f>IF(Calc_Helper!B5=TRUE(),1,0)</f>
        <v>0</v>
      </c>
      <c r="AB5" s="20" t="b">
        <f>Calc_Helper!C5</f>
        <v>1</v>
      </c>
      <c r="AC5" s="5">
        <f>IF(Calc_Helper!C5=TRUE(),1,0)</f>
        <v>1</v>
      </c>
      <c r="AD5" s="20" t="b">
        <f ca="1">Calc_Helper!D5</f>
        <v>1</v>
      </c>
      <c r="AE5" s="5">
        <f ca="1">IF(Calc_Helper!D5=TRUE(),1,0)</f>
        <v>1</v>
      </c>
      <c r="AF5" s="20" t="b">
        <f ca="1">Calc_Helper!O5</f>
        <v>1</v>
      </c>
      <c r="AG5" s="5">
        <f ca="1">IF(Calc_Helper!O5=TRUE(),1,0)</f>
        <v>1</v>
      </c>
      <c r="AH5" s="20" t="b">
        <f>Calc_Helper!P5</f>
        <v>1</v>
      </c>
      <c r="AI5" s="5">
        <f>IF(Calc_Helper!P5=TRUE(),1,0)</f>
        <v>1</v>
      </c>
      <c r="AJ5" s="20" t="b">
        <f ca="1">Calc_Helper!Q5</f>
        <v>1</v>
      </c>
      <c r="AK5" s="5">
        <f ca="1">IF(Calc_Helper!Q5=TRUE(),1,0)</f>
        <v>1</v>
      </c>
      <c r="AL5" s="20" t="b">
        <f ca="1">Calc_Helper!R5</f>
        <v>0</v>
      </c>
      <c r="AM5" s="5">
        <f ca="1">IF(Calc_Helper!R5=TRUE(),1,0)</f>
        <v>0</v>
      </c>
      <c r="AN5" s="5" t="str">
        <f>IF(Calc_Helper!S5="","Unknown",Calc_Helper!S5)</f>
        <v>N/A</v>
      </c>
      <c r="AO5" s="5">
        <f>IF(OR(Calc_Helper!S5="Healthy",Calc_Helper!S5="On Track"),1,0)</f>
        <v>0</v>
      </c>
      <c r="AP5" s="5" t="str">
        <f>IFERROR(IF(Calc_Helper!T5="","",Calc_Helper!T5),"")</f>
        <v/>
      </c>
      <c r="AQ5" s="5">
        <f>IF(Calc_Helper!T5=TRUE(),1,0)</f>
        <v>0</v>
      </c>
    </row>
    <row r="6" spans="1:43" x14ac:dyDescent="0.3">
      <c r="A6" s="2" t="str">
        <f>IF(Clean_Data!A6="","Unknown",Clean_Data!A6)</f>
        <v>TSK-0005</v>
      </c>
      <c r="B6" s="2" t="str">
        <f>IF(Clean_Data!B6="","Unknown",Clean_Data!B6)</f>
        <v>Employee Onboarding</v>
      </c>
      <c r="C6" s="2" t="str">
        <f>IF(Clean_Data!C6="","Unknown",Clean_Data!C6)</f>
        <v>IT</v>
      </c>
      <c r="D6" s="2" t="str">
        <f>IF(Clean_Data!D6="","Unknown",Clean_Data!D6)</f>
        <v>Meera Thakur</v>
      </c>
      <c r="E6" s="2" t="str">
        <f>IF(Clean_Data!E6="","Unknown",Clean_Data!E6)</f>
        <v>Manager</v>
      </c>
      <c r="F6" s="2" t="str">
        <f>IF(Clean_Data!F6="","Unknown",Clean_Data!F6)</f>
        <v>Critical</v>
      </c>
      <c r="G6" s="2" t="str">
        <f>IF(Clean_Data!G6="","Unknown",Clean_Data!G6)</f>
        <v>Testing</v>
      </c>
      <c r="H6" s="2" t="str">
        <f>IF(Clean_Data!K6="","Unknown",Clean_Data!K6)</f>
        <v>On Hold</v>
      </c>
      <c r="I6" s="10">
        <f>Clean_Data!H6</f>
        <v>45490</v>
      </c>
      <c r="J6" s="10">
        <f>Clean_Data!I6</f>
        <v>45512</v>
      </c>
      <c r="K6" s="10" t="str">
        <f>Clean_Data!J6</f>
        <v/>
      </c>
      <c r="L6" s="2" t="str">
        <f>IF(Calc_Helper!I6="","Unknown",Calc_Helper!I6)</f>
        <v>2024-08</v>
      </c>
      <c r="M6" s="2" t="str">
        <f>IF(Calc_Helper!J6="","Unknown",Calc_Helper!J6)</f>
        <v>2024-07</v>
      </c>
      <c r="N6" s="19" t="str">
        <f>IF(Calc_Helper!K6="","",Calc_Helper!K6)</f>
        <v/>
      </c>
      <c r="O6" s="2">
        <f>IFERROR(Calc_Helper!L6,"")</f>
        <v>2024</v>
      </c>
      <c r="P6" s="2">
        <f>IFERROR(Calc_Helper!M6,"")</f>
        <v>7</v>
      </c>
      <c r="Q6" s="2" t="str">
        <f>IF(Calc_Helper!N6="","Unknown",Calc_Helper!N6)</f>
        <v>July</v>
      </c>
      <c r="R6" s="15">
        <f>IFERROR(IF(ISNUMBER(Clean_Data!L6),Clean_Data!L6,0),0)</f>
        <v>0.28000000000000003</v>
      </c>
      <c r="S6" s="16">
        <f>IFERROR(IF(ISNUMBER(Clean_Data!M6),Clean_Data!M6,0),0)</f>
        <v>32.1</v>
      </c>
      <c r="T6" s="16" t="str">
        <f>IF(Clean_Data!N6="","",IFERROR(IF(ISNUMBER(Clean_Data!N6),Clean_Data!N6,""),""))</f>
        <v/>
      </c>
      <c r="U6" s="16">
        <f>IFERROR(IF(ISNUMBER(Clean_Data!O6),Clean_Data!O6,0),0)</f>
        <v>0</v>
      </c>
      <c r="V6" s="2">
        <f ca="1">IFERROR(IF(ISNUMBER(Calc_Helper!E6),Calc_Helper!E6,0),0)</f>
        <v>636</v>
      </c>
      <c r="W6" s="2">
        <f ca="1">IFERROR(IF(ISNUMBER(Calc_Helper!F6),Calc_Helper!F6,0),0)</f>
        <v>614</v>
      </c>
      <c r="X6" s="2">
        <f>IFERROR(IF(ISNUMBER(Calc_Helper!G6),Calc_Helper!G6,0),0)</f>
        <v>0</v>
      </c>
      <c r="Y6" s="2">
        <f ca="1">IFERROR(IF(ISNUMBER(Calc_Helper!H6),Calc_Helper!H6,0),0)</f>
        <v>636</v>
      </c>
      <c r="Z6" s="19" t="b">
        <f>Calc_Helper!B6</f>
        <v>0</v>
      </c>
      <c r="AA6" s="2">
        <f>IF(Calc_Helper!B6=TRUE(),1,0)</f>
        <v>0</v>
      </c>
      <c r="AB6" s="19" t="b">
        <f>Calc_Helper!C6</f>
        <v>1</v>
      </c>
      <c r="AC6" s="2">
        <f>IF(Calc_Helper!C6=TRUE(),1,0)</f>
        <v>1</v>
      </c>
      <c r="AD6" s="19" t="b">
        <f ca="1">Calc_Helper!D6</f>
        <v>1</v>
      </c>
      <c r="AE6" s="2">
        <f ca="1">IF(Calc_Helper!D6=TRUE(),1,0)</f>
        <v>1</v>
      </c>
      <c r="AF6" s="19" t="b">
        <f ca="1">Calc_Helper!O6</f>
        <v>1</v>
      </c>
      <c r="AG6" s="2">
        <f ca="1">IF(Calc_Helper!O6=TRUE(),1,0)</f>
        <v>1</v>
      </c>
      <c r="AH6" s="19" t="b">
        <f>Calc_Helper!P6</f>
        <v>1</v>
      </c>
      <c r="AI6" s="2">
        <f>IF(Calc_Helper!P6=TRUE(),1,0)</f>
        <v>1</v>
      </c>
      <c r="AJ6" s="19" t="b">
        <f ca="1">Calc_Helper!Q6</f>
        <v>1</v>
      </c>
      <c r="AK6" s="2">
        <f ca="1">IF(Calc_Helper!Q6=TRUE(),1,0)</f>
        <v>1</v>
      </c>
      <c r="AL6" s="19" t="b">
        <f ca="1">Calc_Helper!R6</f>
        <v>0</v>
      </c>
      <c r="AM6" s="2">
        <f ca="1">IF(Calc_Helper!R6=TRUE(),1,0)</f>
        <v>0</v>
      </c>
      <c r="AN6" s="2" t="str">
        <f>IF(Calc_Helper!S6="","Unknown",Calc_Helper!S6)</f>
        <v>N/A</v>
      </c>
      <c r="AO6" s="2">
        <f>IF(OR(Calc_Helper!S6="Healthy",Calc_Helper!S6="On Track"),1,0)</f>
        <v>0</v>
      </c>
      <c r="AP6" s="2" t="str">
        <f>IFERROR(IF(Calc_Helper!T6="","",Calc_Helper!T6),"")</f>
        <v/>
      </c>
      <c r="AQ6" s="2">
        <f>IF(Calc_Helper!T6=TRUE(),1,0)</f>
        <v>0</v>
      </c>
    </row>
    <row r="7" spans="1:43" x14ac:dyDescent="0.3">
      <c r="A7" s="5" t="str">
        <f>IF(Clean_Data!A7="","Unknown",Clean_Data!A7)</f>
        <v>TSK-0006</v>
      </c>
      <c r="B7" s="5" t="str">
        <f>IF(Clean_Data!B7="","Unknown",Clean_Data!B7)</f>
        <v>CRM Migration</v>
      </c>
      <c r="C7" s="5" t="str">
        <f>IF(Clean_Data!C7="","Unknown",Clean_Data!C7)</f>
        <v>Finance</v>
      </c>
      <c r="D7" s="5" t="str">
        <f>IF(Clean_Data!D7="","Unknown",Clean_Data!D7)</f>
        <v>Deepak Nair</v>
      </c>
      <c r="E7" s="5" t="str">
        <f>IF(Clean_Data!E7="","Unknown",Clean_Data!E7)</f>
        <v>Manager</v>
      </c>
      <c r="F7" s="5" t="str">
        <f>IF(Clean_Data!F7="","Unknown",Clean_Data!F7)</f>
        <v>High</v>
      </c>
      <c r="G7" s="5" t="str">
        <f>IF(Clean_Data!G7="","Unknown",Clean_Data!G7)</f>
        <v>Documentation</v>
      </c>
      <c r="H7" s="5" t="str">
        <f>IF(Clean_Data!K7="","Unknown",Clean_Data!K7)</f>
        <v>In Progress</v>
      </c>
      <c r="I7" s="13">
        <f>Clean_Data!H7</f>
        <v>45490</v>
      </c>
      <c r="J7" s="13">
        <f>Clean_Data!I7</f>
        <v>45512</v>
      </c>
      <c r="K7" s="13" t="str">
        <f>Clean_Data!J7</f>
        <v/>
      </c>
      <c r="L7" s="5" t="str">
        <f>IF(Calc_Helper!I7="","Unknown",Calc_Helper!I7)</f>
        <v>2024-08</v>
      </c>
      <c r="M7" s="5" t="str">
        <f>IF(Calc_Helper!J7="","Unknown",Calc_Helper!J7)</f>
        <v>2024-07</v>
      </c>
      <c r="N7" s="19" t="str">
        <f>IF(Calc_Helper!K7="","",Calc_Helper!K7)</f>
        <v/>
      </c>
      <c r="O7" s="5">
        <f>IFERROR(Calc_Helper!L7,"")</f>
        <v>2024</v>
      </c>
      <c r="P7" s="5">
        <f>IFERROR(Calc_Helper!M7,"")</f>
        <v>7</v>
      </c>
      <c r="Q7" s="5" t="str">
        <f>IF(Calc_Helper!N7="","Unknown",Calc_Helper!N7)</f>
        <v>July</v>
      </c>
      <c r="R7" s="17">
        <f>IFERROR(IF(ISNUMBER(Clean_Data!L7),Clean_Data!L7,0),0)</f>
        <v>0.73</v>
      </c>
      <c r="S7" s="18">
        <f>IFERROR(IF(ISNUMBER(Clean_Data!M7),Clean_Data!M7,0),0)</f>
        <v>66.5</v>
      </c>
      <c r="T7" s="16">
        <f>IF(Clean_Data!N7="","",IFERROR(IF(ISNUMBER(Clean_Data!N7),Clean_Data!N7,""),""))</f>
        <v>25.2</v>
      </c>
      <c r="U7" s="18">
        <f>IFERROR(IF(ISNUMBER(Clean_Data!O7),Clean_Data!O7,0),0)</f>
        <v>-41.3</v>
      </c>
      <c r="V7" s="5">
        <f ca="1">IFERROR(IF(ISNUMBER(Calc_Helper!E7),Calc_Helper!E7,0),0)</f>
        <v>636</v>
      </c>
      <c r="W7" s="5">
        <f ca="1">IFERROR(IF(ISNUMBER(Calc_Helper!F7),Calc_Helper!F7,0),0)</f>
        <v>614</v>
      </c>
      <c r="X7" s="5">
        <f>IFERROR(IF(ISNUMBER(Calc_Helper!G7),Calc_Helper!G7,0),0)</f>
        <v>0</v>
      </c>
      <c r="Y7" s="5">
        <f ca="1">IFERROR(IF(ISNUMBER(Calc_Helper!H7),Calc_Helper!H7,0),0)</f>
        <v>636</v>
      </c>
      <c r="Z7" s="20" t="b">
        <f>Calc_Helper!B7</f>
        <v>0</v>
      </c>
      <c r="AA7" s="5">
        <f>IF(Calc_Helper!B7=TRUE(),1,0)</f>
        <v>0</v>
      </c>
      <c r="AB7" s="20" t="b">
        <f>Calc_Helper!C7</f>
        <v>1</v>
      </c>
      <c r="AC7" s="5">
        <f>IF(Calc_Helper!C7=TRUE(),1,0)</f>
        <v>1</v>
      </c>
      <c r="AD7" s="20" t="b">
        <f ca="1">Calc_Helper!D7</f>
        <v>1</v>
      </c>
      <c r="AE7" s="5">
        <f ca="1">IF(Calc_Helper!D7=TRUE(),1,0)</f>
        <v>1</v>
      </c>
      <c r="AF7" s="20" t="b">
        <f ca="1">Calc_Helper!O7</f>
        <v>1</v>
      </c>
      <c r="AG7" s="5">
        <f ca="1">IF(Calc_Helper!O7=TRUE(),1,0)</f>
        <v>1</v>
      </c>
      <c r="AH7" s="20" t="b">
        <f>Calc_Helper!P7</f>
        <v>1</v>
      </c>
      <c r="AI7" s="5">
        <f>IF(Calc_Helper!P7=TRUE(),1,0)</f>
        <v>1</v>
      </c>
      <c r="AJ7" s="20" t="b">
        <f ca="1">Calc_Helper!Q7</f>
        <v>1</v>
      </c>
      <c r="AK7" s="5">
        <f ca="1">IF(Calc_Helper!Q7=TRUE(),1,0)</f>
        <v>1</v>
      </c>
      <c r="AL7" s="20" t="b">
        <f ca="1">Calc_Helper!R7</f>
        <v>1</v>
      </c>
      <c r="AM7" s="5">
        <f ca="1">IF(Calc_Helper!R7=TRUE(),1,0)</f>
        <v>1</v>
      </c>
      <c r="AN7" s="5" t="str">
        <f>IF(Calc_Helper!S7="","Unknown",Calc_Helper!S7)</f>
        <v>On Track</v>
      </c>
      <c r="AO7" s="5">
        <f>IF(OR(Calc_Helper!S7="Healthy",Calc_Helper!S7="On Track"),1,0)</f>
        <v>1</v>
      </c>
      <c r="AP7" s="5" t="str">
        <f>IFERROR(IF(Calc_Helper!T7="","",Calc_Helper!T7),"")</f>
        <v/>
      </c>
      <c r="AQ7" s="5">
        <f>IF(Calc_Helper!T7=TRUE(),1,0)</f>
        <v>0</v>
      </c>
    </row>
    <row r="8" spans="1:43" x14ac:dyDescent="0.3">
      <c r="A8" s="2" t="str">
        <f>IF(Clean_Data!A8="","Unknown",Clean_Data!A8)</f>
        <v>TSK-0007</v>
      </c>
      <c r="B8" s="2" t="str">
        <f>IF(Clean_Data!B8="","Unknown",Clean_Data!B8)</f>
        <v>Mobile App v2</v>
      </c>
      <c r="C8" s="2" t="str">
        <f>IF(Clean_Data!C8="","Unknown",Clean_Data!C8)</f>
        <v>HR</v>
      </c>
      <c r="D8" s="2" t="str">
        <f>IF(Clean_Data!D8="","Unknown",Clean_Data!D8)</f>
        <v>Sneha Gupta</v>
      </c>
      <c r="E8" s="2" t="str">
        <f>IF(Clean_Data!E8="","Unknown",Clean_Data!E8)</f>
        <v>Lead</v>
      </c>
      <c r="F8" s="2" t="str">
        <f>IF(Clean_Data!F8="","Unknown",Clean_Data!F8)</f>
        <v>Medium</v>
      </c>
      <c r="G8" s="2" t="str">
        <f>IF(Clean_Data!G8="","Unknown",Clean_Data!G8)</f>
        <v>Documentation</v>
      </c>
      <c r="H8" s="2" t="str">
        <f>IF(Clean_Data!K8="","Unknown",Clean_Data!K8)</f>
        <v>In Progress</v>
      </c>
      <c r="I8" s="10">
        <f>Clean_Data!H8</f>
        <v>45369</v>
      </c>
      <c r="J8" s="10">
        <f>Clean_Data!I8</f>
        <v>45390</v>
      </c>
      <c r="K8" s="10" t="str">
        <f>Clean_Data!J8</f>
        <v/>
      </c>
      <c r="L8" s="2" t="str">
        <f>IF(Calc_Helper!I8="","Unknown",Calc_Helper!I8)</f>
        <v>2024-04</v>
      </c>
      <c r="M8" s="2" t="str">
        <f>IF(Calc_Helper!J8="","Unknown",Calc_Helper!J8)</f>
        <v>2024-03</v>
      </c>
      <c r="N8" s="19" t="str">
        <f>IF(Calc_Helper!K8="","",Calc_Helper!K8)</f>
        <v/>
      </c>
      <c r="O8" s="2">
        <f>IFERROR(Calc_Helper!L8,"")</f>
        <v>2024</v>
      </c>
      <c r="P8" s="2">
        <f>IFERROR(Calc_Helper!M8,"")</f>
        <v>3</v>
      </c>
      <c r="Q8" s="2" t="str">
        <f>IF(Calc_Helper!N8="","Unknown",Calc_Helper!N8)</f>
        <v>March</v>
      </c>
      <c r="R8" s="15">
        <f>IFERROR(IF(ISNUMBER(Clean_Data!L8),Clean_Data!L8,0),0)</f>
        <v>0.65</v>
      </c>
      <c r="S8" s="16">
        <f>IFERROR(IF(ISNUMBER(Clean_Data!M8),Clean_Data!M8,0),0)</f>
        <v>60.8</v>
      </c>
      <c r="T8" s="16">
        <f>IF(Clean_Data!N8="","",IFERROR(IF(ISNUMBER(Clean_Data!N8),Clean_Data!N8,""),""))</f>
        <v>32.799999999999997</v>
      </c>
      <c r="U8" s="16">
        <f>IFERROR(IF(ISNUMBER(Clean_Data!O8),Clean_Data!O8,0),0)</f>
        <v>-28</v>
      </c>
      <c r="V8" s="2">
        <f ca="1">IFERROR(IF(ISNUMBER(Calc_Helper!E8),Calc_Helper!E8,0),0)</f>
        <v>757</v>
      </c>
      <c r="W8" s="2">
        <f ca="1">IFERROR(IF(ISNUMBER(Calc_Helper!F8),Calc_Helper!F8,0),0)</f>
        <v>736</v>
      </c>
      <c r="X8" s="2">
        <f>IFERROR(IF(ISNUMBER(Calc_Helper!G8),Calc_Helper!G8,0),0)</f>
        <v>0</v>
      </c>
      <c r="Y8" s="2">
        <f ca="1">IFERROR(IF(ISNUMBER(Calc_Helper!H8),Calc_Helper!H8,0),0)</f>
        <v>757</v>
      </c>
      <c r="Z8" s="19" t="b">
        <f>Calc_Helper!B8</f>
        <v>0</v>
      </c>
      <c r="AA8" s="2">
        <f>IF(Calc_Helper!B8=TRUE(),1,0)</f>
        <v>0</v>
      </c>
      <c r="AB8" s="19" t="b">
        <f>Calc_Helper!C8</f>
        <v>1</v>
      </c>
      <c r="AC8" s="2">
        <f>IF(Calc_Helper!C8=TRUE(),1,0)</f>
        <v>1</v>
      </c>
      <c r="AD8" s="19" t="b">
        <f ca="1">Calc_Helper!D8</f>
        <v>1</v>
      </c>
      <c r="AE8" s="2">
        <f ca="1">IF(Calc_Helper!D8=TRUE(),1,0)</f>
        <v>1</v>
      </c>
      <c r="AF8" s="19" t="b">
        <f ca="1">Calc_Helper!O8</f>
        <v>1</v>
      </c>
      <c r="AG8" s="2">
        <f ca="1">IF(Calc_Helper!O8=TRUE(),1,0)</f>
        <v>1</v>
      </c>
      <c r="AH8" s="19" t="b">
        <f>Calc_Helper!P8</f>
        <v>0</v>
      </c>
      <c r="AI8" s="2">
        <f>IF(Calc_Helper!P8=TRUE(),1,0)</f>
        <v>0</v>
      </c>
      <c r="AJ8" s="19" t="b">
        <f ca="1">Calc_Helper!Q8</f>
        <v>0</v>
      </c>
      <c r="AK8" s="2">
        <f ca="1">IF(Calc_Helper!Q8=TRUE(),1,0)</f>
        <v>0</v>
      </c>
      <c r="AL8" s="19" t="b">
        <f ca="1">Calc_Helper!R8</f>
        <v>1</v>
      </c>
      <c r="AM8" s="2">
        <f ca="1">IF(Calc_Helper!R8=TRUE(),1,0)</f>
        <v>1</v>
      </c>
      <c r="AN8" s="2" t="str">
        <f>IF(Calc_Helper!S8="","Unknown",Calc_Helper!S8)</f>
        <v>On Track</v>
      </c>
      <c r="AO8" s="2">
        <f>IF(OR(Calc_Helper!S8="Healthy",Calc_Helper!S8="On Track"),1,0)</f>
        <v>1</v>
      </c>
      <c r="AP8" s="2" t="str">
        <f>IFERROR(IF(Calc_Helper!T8="","",Calc_Helper!T8),"")</f>
        <v/>
      </c>
      <c r="AQ8" s="2">
        <f>IF(Calc_Helper!T8=TRUE(),1,0)</f>
        <v>0</v>
      </c>
    </row>
    <row r="9" spans="1:43" x14ac:dyDescent="0.3">
      <c r="A9" s="5" t="str">
        <f>IF(Clean_Data!A9="","Unknown",Clean_Data!A9)</f>
        <v>TSK-0008</v>
      </c>
      <c r="B9" s="5" t="str">
        <f>IF(Clean_Data!B9="","Unknown",Clean_Data!B9)</f>
        <v>Annual Audit</v>
      </c>
      <c r="C9" s="5" t="str">
        <f>IF(Clean_Data!C9="","Unknown",Clean_Data!C9)</f>
        <v>Sales</v>
      </c>
      <c r="D9" s="5" t="str">
        <f>IF(Clean_Data!D9="","Unknown",Clean_Data!D9)</f>
        <v>Kavita Rao</v>
      </c>
      <c r="E9" s="5" t="str">
        <f>IF(Clean_Data!E9="","Unknown",Clean_Data!E9)</f>
        <v>Analyst</v>
      </c>
      <c r="F9" s="5" t="str">
        <f>IF(Clean_Data!F9="","Unknown",Clean_Data!F9)</f>
        <v>Critical</v>
      </c>
      <c r="G9" s="5" t="str">
        <f>IF(Clean_Data!G9="","Unknown",Clean_Data!G9)</f>
        <v>Development</v>
      </c>
      <c r="H9" s="5" t="str">
        <f>IF(Clean_Data!K9="","Unknown",Clean_Data!K9)</f>
        <v>In Progress</v>
      </c>
      <c r="I9" s="13">
        <f>Clean_Data!H9</f>
        <v>45352</v>
      </c>
      <c r="J9" s="13">
        <f>Clean_Data!I9</f>
        <v>45366</v>
      </c>
      <c r="K9" s="13" t="str">
        <f>Clean_Data!J9</f>
        <v/>
      </c>
      <c r="L9" s="5" t="str">
        <f>IF(Calc_Helper!I9="","Unknown",Calc_Helper!I9)</f>
        <v>2024-03</v>
      </c>
      <c r="M9" s="5" t="str">
        <f>IF(Calc_Helper!J9="","Unknown",Calc_Helper!J9)</f>
        <v>2024-03</v>
      </c>
      <c r="N9" s="19" t="str">
        <f>IF(Calc_Helper!K9="","",Calc_Helper!K9)</f>
        <v/>
      </c>
      <c r="O9" s="5">
        <f>IFERROR(Calc_Helper!L9,"")</f>
        <v>2024</v>
      </c>
      <c r="P9" s="5">
        <f>IFERROR(Calc_Helper!M9,"")</f>
        <v>3</v>
      </c>
      <c r="Q9" s="5" t="str">
        <f>IF(Calc_Helper!N9="","Unknown",Calc_Helper!N9)</f>
        <v>March</v>
      </c>
      <c r="R9" s="17">
        <f>IFERROR(IF(ISNUMBER(Clean_Data!L9),Clean_Data!L9,0),0)</f>
        <v>0</v>
      </c>
      <c r="S9" s="18">
        <f>IFERROR(IF(ISNUMBER(Clean_Data!M9),Clean_Data!M9,0),0)</f>
        <v>33</v>
      </c>
      <c r="T9" s="16">
        <f>IF(Clean_Data!N9="","",IFERROR(IF(ISNUMBER(Clean_Data!N9),Clean_Data!N9,""),""))</f>
        <v>16.7</v>
      </c>
      <c r="U9" s="18">
        <f>IFERROR(IF(ISNUMBER(Clean_Data!O9),Clean_Data!O9,0),0)</f>
        <v>-16.3</v>
      </c>
      <c r="V9" s="5">
        <f ca="1">IFERROR(IF(ISNUMBER(Calc_Helper!E9),Calc_Helper!E9,0),0)</f>
        <v>774</v>
      </c>
      <c r="W9" s="5">
        <f ca="1">IFERROR(IF(ISNUMBER(Calc_Helper!F9),Calc_Helper!F9,0),0)</f>
        <v>760</v>
      </c>
      <c r="X9" s="5">
        <f>IFERROR(IF(ISNUMBER(Calc_Helper!G9),Calc_Helper!G9,0),0)</f>
        <v>0</v>
      </c>
      <c r="Y9" s="5">
        <f ca="1">IFERROR(IF(ISNUMBER(Calc_Helper!H9),Calc_Helper!H9,0),0)</f>
        <v>774</v>
      </c>
      <c r="Z9" s="20" t="b">
        <f>Calc_Helper!B9</f>
        <v>0</v>
      </c>
      <c r="AA9" s="5">
        <f>IF(Calc_Helper!B9=TRUE(),1,0)</f>
        <v>0</v>
      </c>
      <c r="AB9" s="20" t="b">
        <f>Calc_Helper!C9</f>
        <v>1</v>
      </c>
      <c r="AC9" s="5">
        <f>IF(Calc_Helper!C9=TRUE(),1,0)</f>
        <v>1</v>
      </c>
      <c r="AD9" s="20" t="b">
        <f ca="1">Calc_Helper!D9</f>
        <v>1</v>
      </c>
      <c r="AE9" s="5">
        <f ca="1">IF(Calc_Helper!D9=TRUE(),1,0)</f>
        <v>1</v>
      </c>
      <c r="AF9" s="20" t="b">
        <f ca="1">Calc_Helper!O9</f>
        <v>1</v>
      </c>
      <c r="AG9" s="5">
        <f ca="1">IF(Calc_Helper!O9=TRUE(),1,0)</f>
        <v>1</v>
      </c>
      <c r="AH9" s="20" t="b">
        <f>Calc_Helper!P9</f>
        <v>1</v>
      </c>
      <c r="AI9" s="5">
        <f>IF(Calc_Helper!P9=TRUE(),1,0)</f>
        <v>1</v>
      </c>
      <c r="AJ9" s="20" t="b">
        <f ca="1">Calc_Helper!Q9</f>
        <v>1</v>
      </c>
      <c r="AK9" s="5">
        <f ca="1">IF(Calc_Helper!Q9=TRUE(),1,0)</f>
        <v>1</v>
      </c>
      <c r="AL9" s="20" t="b">
        <f ca="1">Calc_Helper!R9</f>
        <v>1</v>
      </c>
      <c r="AM9" s="5">
        <f ca="1">IF(Calc_Helper!R9=TRUE(),1,0)</f>
        <v>1</v>
      </c>
      <c r="AN9" s="5" t="str">
        <f>IF(Calc_Helper!S9="","Unknown",Calc_Helper!S9)</f>
        <v>N/A</v>
      </c>
      <c r="AO9" s="5">
        <f>IF(OR(Calc_Helper!S9="Healthy",Calc_Helper!S9="On Track"),1,0)</f>
        <v>0</v>
      </c>
      <c r="AP9" s="5" t="str">
        <f>IFERROR(IF(Calc_Helper!T9="","",Calc_Helper!T9),"")</f>
        <v/>
      </c>
      <c r="AQ9" s="5">
        <f>IF(Calc_Helper!T9=TRUE(),1,0)</f>
        <v>0</v>
      </c>
    </row>
    <row r="10" spans="1:43" x14ac:dyDescent="0.3">
      <c r="A10" s="2" t="str">
        <f>IF(Clean_Data!A10="","Unknown",Clean_Data!A10)</f>
        <v>TSK-0009</v>
      </c>
      <c r="B10" s="2" t="str">
        <f>IF(Clean_Data!B10="","Unknown",Clean_Data!B10)</f>
        <v>CRM Migration</v>
      </c>
      <c r="C10" s="2" t="str">
        <f>IF(Clean_Data!C10="","Unknown",Clean_Data!C10)</f>
        <v>HR</v>
      </c>
      <c r="D10" s="2" t="str">
        <f>IF(Clean_Data!D10="","Unknown",Clean_Data!D10)</f>
        <v>Sanjay Kulkarni</v>
      </c>
      <c r="E10" s="2" t="str">
        <f>IF(Clean_Data!E10="","Unknown",Clean_Data!E10)</f>
        <v>Designer</v>
      </c>
      <c r="F10" s="2" t="str">
        <f>IF(Clean_Data!F10="","Unknown",Clean_Data!F10)</f>
        <v>High</v>
      </c>
      <c r="G10" s="2" t="str">
        <f>IF(Clean_Data!G10="","Unknown",Clean_Data!G10)</f>
        <v>Planning</v>
      </c>
      <c r="H10" s="2" t="str">
        <f>IF(Clean_Data!K10="","Unknown",Clean_Data!K10)</f>
        <v>On Hold</v>
      </c>
      <c r="I10" s="10">
        <f>Clean_Data!H10</f>
        <v>45518</v>
      </c>
      <c r="J10" s="10">
        <f>Clean_Data!I10</f>
        <v>45533</v>
      </c>
      <c r="K10" s="10" t="str">
        <f>Clean_Data!J10</f>
        <v/>
      </c>
      <c r="L10" s="2" t="str">
        <f>IF(Calc_Helper!I10="","Unknown",Calc_Helper!I10)</f>
        <v>2024-08</v>
      </c>
      <c r="M10" s="2" t="str">
        <f>IF(Calc_Helper!J10="","Unknown",Calc_Helper!J10)</f>
        <v>2024-08</v>
      </c>
      <c r="N10" s="19" t="str">
        <f>IF(Calc_Helper!K10="","",Calc_Helper!K10)</f>
        <v/>
      </c>
      <c r="O10" s="2">
        <f>IFERROR(Calc_Helper!L10,"")</f>
        <v>2024</v>
      </c>
      <c r="P10" s="2">
        <f>IFERROR(Calc_Helper!M10,"")</f>
        <v>8</v>
      </c>
      <c r="Q10" s="2" t="str">
        <f>IF(Calc_Helper!N10="","Unknown",Calc_Helper!N10)</f>
        <v>August</v>
      </c>
      <c r="R10" s="15">
        <f>IFERROR(IF(ISNUMBER(Clean_Data!L10),Clean_Data!L10,0),0)</f>
        <v>0</v>
      </c>
      <c r="S10" s="16">
        <f>IFERROR(IF(ISNUMBER(Clean_Data!M10),Clean_Data!M10,0),0)</f>
        <v>70.599999999999994</v>
      </c>
      <c r="T10" s="16">
        <f>IF(Clean_Data!N10="","",IFERROR(IF(ISNUMBER(Clean_Data!N10),Clean_Data!N10,""),""))</f>
        <v>0</v>
      </c>
      <c r="U10" s="16">
        <f>IFERROR(IF(ISNUMBER(Clean_Data!O10),Clean_Data!O10,0),0)</f>
        <v>-70.599999999999994</v>
      </c>
      <c r="V10" s="2">
        <f ca="1">IFERROR(IF(ISNUMBER(Calc_Helper!E10),Calc_Helper!E10,0),0)</f>
        <v>608</v>
      </c>
      <c r="W10" s="2">
        <f ca="1">IFERROR(IF(ISNUMBER(Calc_Helper!F10),Calc_Helper!F10,0),0)</f>
        <v>593</v>
      </c>
      <c r="X10" s="2">
        <f>IFERROR(IF(ISNUMBER(Calc_Helper!G10),Calc_Helper!G10,0),0)</f>
        <v>0</v>
      </c>
      <c r="Y10" s="2">
        <f ca="1">IFERROR(IF(ISNUMBER(Calc_Helper!H10),Calc_Helper!H10,0),0)</f>
        <v>608</v>
      </c>
      <c r="Z10" s="19" t="b">
        <f>Calc_Helper!B10</f>
        <v>0</v>
      </c>
      <c r="AA10" s="2">
        <f>IF(Calc_Helper!B10=TRUE(),1,0)</f>
        <v>0</v>
      </c>
      <c r="AB10" s="19" t="b">
        <f>Calc_Helper!C10</f>
        <v>1</v>
      </c>
      <c r="AC10" s="2">
        <f>IF(Calc_Helper!C10=TRUE(),1,0)</f>
        <v>1</v>
      </c>
      <c r="AD10" s="19" t="b">
        <f ca="1">Calc_Helper!D10</f>
        <v>1</v>
      </c>
      <c r="AE10" s="2">
        <f ca="1">IF(Calc_Helper!D10=TRUE(),1,0)</f>
        <v>1</v>
      </c>
      <c r="AF10" s="19" t="b">
        <f ca="1">Calc_Helper!O10</f>
        <v>1</v>
      </c>
      <c r="AG10" s="2">
        <f ca="1">IF(Calc_Helper!O10=TRUE(),1,0)</f>
        <v>1</v>
      </c>
      <c r="AH10" s="19" t="b">
        <f>Calc_Helper!P10</f>
        <v>1</v>
      </c>
      <c r="AI10" s="2">
        <f>IF(Calc_Helper!P10=TRUE(),1,0)</f>
        <v>1</v>
      </c>
      <c r="AJ10" s="19" t="b">
        <f ca="1">Calc_Helper!Q10</f>
        <v>1</v>
      </c>
      <c r="AK10" s="2">
        <f ca="1">IF(Calc_Helper!Q10=TRUE(),1,0)</f>
        <v>1</v>
      </c>
      <c r="AL10" s="19" t="b">
        <f ca="1">Calc_Helper!R10</f>
        <v>0</v>
      </c>
      <c r="AM10" s="2">
        <f ca="1">IF(Calc_Helper!R10=TRUE(),1,0)</f>
        <v>0</v>
      </c>
      <c r="AN10" s="2" t="str">
        <f>IF(Calc_Helper!S10="","Unknown",Calc_Helper!S10)</f>
        <v>N/A</v>
      </c>
      <c r="AO10" s="2">
        <f>IF(OR(Calc_Helper!S10="Healthy",Calc_Helper!S10="On Track"),1,0)</f>
        <v>0</v>
      </c>
      <c r="AP10" s="2" t="str">
        <f>IFERROR(IF(Calc_Helper!T10="","",Calc_Helper!T10),"")</f>
        <v/>
      </c>
      <c r="AQ10" s="2">
        <f>IF(Calc_Helper!T10=TRUE(),1,0)</f>
        <v>0</v>
      </c>
    </row>
    <row r="11" spans="1:43" x14ac:dyDescent="0.3">
      <c r="A11" s="5" t="str">
        <f>IF(Clean_Data!A11="","Unknown",Clean_Data!A11)</f>
        <v>TSK-0010</v>
      </c>
      <c r="B11" s="5" t="str">
        <f>IF(Clean_Data!B11="","Unknown",Clean_Data!B11)</f>
        <v>Supply Chain Optimization</v>
      </c>
      <c r="C11" s="5" t="str">
        <f>IF(Clean_Data!C11="","Unknown",Clean_Data!C11)</f>
        <v>Finance</v>
      </c>
      <c r="D11" s="5" t="str">
        <f>IF(Clean_Data!D11="","Unknown",Clean_Data!D11)</f>
        <v>Meera Thakur</v>
      </c>
      <c r="E11" s="5" t="str">
        <f>IF(Clean_Data!E11="","Unknown",Clean_Data!E11)</f>
        <v>Designer</v>
      </c>
      <c r="F11" s="5" t="str">
        <f>IF(Clean_Data!F11="","Unknown",Clean_Data!F11)</f>
        <v>Critical</v>
      </c>
      <c r="G11" s="5" t="str">
        <f>IF(Clean_Data!G11="","Unknown",Clean_Data!G11)</f>
        <v>Deployment</v>
      </c>
      <c r="H11" s="5" t="str">
        <f>IF(Clean_Data!K11="","Unknown",Clean_Data!K11)</f>
        <v>In Progress</v>
      </c>
      <c r="I11" s="13">
        <f>Clean_Data!H11</f>
        <v>45607</v>
      </c>
      <c r="J11" s="13">
        <f>Clean_Data!I11</f>
        <v>45624</v>
      </c>
      <c r="K11" s="13" t="str">
        <f>Clean_Data!J11</f>
        <v/>
      </c>
      <c r="L11" s="5" t="str">
        <f>IF(Calc_Helper!I11="","Unknown",Calc_Helper!I11)</f>
        <v>2024-11</v>
      </c>
      <c r="M11" s="5" t="str">
        <f>IF(Calc_Helper!J11="","Unknown",Calc_Helper!J11)</f>
        <v>2024-11</v>
      </c>
      <c r="N11" s="19" t="str">
        <f>IF(Calc_Helper!K11="","",Calc_Helper!K11)</f>
        <v/>
      </c>
      <c r="O11" s="5">
        <f>IFERROR(Calc_Helper!L11,"")</f>
        <v>2024</v>
      </c>
      <c r="P11" s="5">
        <f>IFERROR(Calc_Helper!M11,"")</f>
        <v>11</v>
      </c>
      <c r="Q11" s="5" t="str">
        <f>IF(Calc_Helper!N11="","Unknown",Calc_Helper!N11)</f>
        <v>November</v>
      </c>
      <c r="R11" s="17">
        <f>IFERROR(IF(ISNUMBER(Clean_Data!L11),Clean_Data!L11,0),0)</f>
        <v>0.56999999999999995</v>
      </c>
      <c r="S11" s="18">
        <f>IFERROR(IF(ISNUMBER(Clean_Data!M11),Clean_Data!M11,0),0)</f>
        <v>49.5</v>
      </c>
      <c r="T11" s="16">
        <f>IF(Clean_Data!N11="","",IFERROR(IF(ISNUMBER(Clean_Data!N11),Clean_Data!N11,""),""))</f>
        <v>6.8</v>
      </c>
      <c r="U11" s="18">
        <f>IFERROR(IF(ISNUMBER(Clean_Data!O11),Clean_Data!O11,0),0)</f>
        <v>-42.7</v>
      </c>
      <c r="V11" s="5">
        <f ca="1">IFERROR(IF(ISNUMBER(Calc_Helper!E11),Calc_Helper!E11,0),0)</f>
        <v>519</v>
      </c>
      <c r="W11" s="5">
        <f ca="1">IFERROR(IF(ISNUMBER(Calc_Helper!F11),Calc_Helper!F11,0),0)</f>
        <v>502</v>
      </c>
      <c r="X11" s="5">
        <f>IFERROR(IF(ISNUMBER(Calc_Helper!G11),Calc_Helper!G11,0),0)</f>
        <v>0</v>
      </c>
      <c r="Y11" s="5">
        <f ca="1">IFERROR(IF(ISNUMBER(Calc_Helper!H11),Calc_Helper!H11,0),0)</f>
        <v>519</v>
      </c>
      <c r="Z11" s="20" t="b">
        <f>Calc_Helper!B11</f>
        <v>0</v>
      </c>
      <c r="AA11" s="5">
        <f>IF(Calc_Helper!B11=TRUE(),1,0)</f>
        <v>0</v>
      </c>
      <c r="AB11" s="20" t="b">
        <f>Calc_Helper!C11</f>
        <v>1</v>
      </c>
      <c r="AC11" s="5">
        <f>IF(Calc_Helper!C11=TRUE(),1,0)</f>
        <v>1</v>
      </c>
      <c r="AD11" s="20" t="b">
        <f ca="1">Calc_Helper!D11</f>
        <v>1</v>
      </c>
      <c r="AE11" s="5">
        <f ca="1">IF(Calc_Helper!D11=TRUE(),1,0)</f>
        <v>1</v>
      </c>
      <c r="AF11" s="20" t="b">
        <f ca="1">Calc_Helper!O11</f>
        <v>1</v>
      </c>
      <c r="AG11" s="5">
        <f ca="1">IF(Calc_Helper!O11=TRUE(),1,0)</f>
        <v>1</v>
      </c>
      <c r="AH11" s="20" t="b">
        <f>Calc_Helper!P11</f>
        <v>1</v>
      </c>
      <c r="AI11" s="5">
        <f>IF(Calc_Helper!P11=TRUE(),1,0)</f>
        <v>1</v>
      </c>
      <c r="AJ11" s="20" t="b">
        <f ca="1">Calc_Helper!Q11</f>
        <v>1</v>
      </c>
      <c r="AK11" s="5">
        <f ca="1">IF(Calc_Helper!Q11=TRUE(),1,0)</f>
        <v>1</v>
      </c>
      <c r="AL11" s="20" t="b">
        <f ca="1">Calc_Helper!R11</f>
        <v>1</v>
      </c>
      <c r="AM11" s="5">
        <f ca="1">IF(Calc_Helper!R11=TRUE(),1,0)</f>
        <v>1</v>
      </c>
      <c r="AN11" s="5" t="str">
        <f>IF(Calc_Helper!S11="","Unknown",Calc_Helper!S11)</f>
        <v>On Track</v>
      </c>
      <c r="AO11" s="5">
        <f>IF(OR(Calc_Helper!S11="Healthy",Calc_Helper!S11="On Track"),1,0)</f>
        <v>1</v>
      </c>
      <c r="AP11" s="5" t="str">
        <f>IFERROR(IF(Calc_Helper!T11="","",Calc_Helper!T11),"")</f>
        <v/>
      </c>
      <c r="AQ11" s="5">
        <f>IF(Calc_Helper!T11=TRUE(),1,0)</f>
        <v>0</v>
      </c>
    </row>
    <row r="12" spans="1:43" x14ac:dyDescent="0.3">
      <c r="A12" s="2" t="str">
        <f>IF(Clean_Data!A12="","Unknown",Clean_Data!A12)</f>
        <v>TSK-0011</v>
      </c>
      <c r="B12" s="2" t="str">
        <f>IF(Clean_Data!B12="","Unknown",Clean_Data!B12)</f>
        <v>Product Launch</v>
      </c>
      <c r="C12" s="2" t="str">
        <f>IF(Clean_Data!C12="","Unknown",Clean_Data!C12)</f>
        <v>IT</v>
      </c>
      <c r="D12" s="2" t="str">
        <f>IF(Clean_Data!D12="","Unknown",Clean_Data!D12)</f>
        <v>Sneha Gupta</v>
      </c>
      <c r="E12" s="2" t="str">
        <f>IF(Clean_Data!E12="","Unknown",Clean_Data!E12)</f>
        <v>Analyst</v>
      </c>
      <c r="F12" s="2" t="str">
        <f>IF(Clean_Data!F12="","Unknown",Clean_Data!F12)</f>
        <v>High</v>
      </c>
      <c r="G12" s="2" t="str">
        <f>IF(Clean_Data!G12="","Unknown",Clean_Data!G12)</f>
        <v>Deployment</v>
      </c>
      <c r="H12" s="2" t="str">
        <f>IF(Clean_Data!K12="","Unknown",Clean_Data!K12)</f>
        <v>In Progress</v>
      </c>
      <c r="I12" s="10">
        <f>Clean_Data!H12</f>
        <v>45331</v>
      </c>
      <c r="J12" s="10">
        <f>Clean_Data!I12</f>
        <v>45384</v>
      </c>
      <c r="K12" s="10" t="str">
        <f>Clean_Data!J12</f>
        <v/>
      </c>
      <c r="L12" s="2" t="str">
        <f>IF(Calc_Helper!I12="","Unknown",Calc_Helper!I12)</f>
        <v>2024-04</v>
      </c>
      <c r="M12" s="2" t="str">
        <f>IF(Calc_Helper!J12="","Unknown",Calc_Helper!J12)</f>
        <v>2024-02</v>
      </c>
      <c r="N12" s="19" t="str">
        <f>IF(Calc_Helper!K12="","",Calc_Helper!K12)</f>
        <v/>
      </c>
      <c r="O12" s="2">
        <f>IFERROR(Calc_Helper!L12,"")</f>
        <v>2024</v>
      </c>
      <c r="P12" s="2">
        <f>IFERROR(Calc_Helper!M12,"")</f>
        <v>2</v>
      </c>
      <c r="Q12" s="2" t="str">
        <f>IF(Calc_Helper!N12="","Unknown",Calc_Helper!N12)</f>
        <v>February</v>
      </c>
      <c r="R12" s="15">
        <f>IFERROR(IF(ISNUMBER(Clean_Data!L12),Clean_Data!L12,0),0)</f>
        <v>0.62</v>
      </c>
      <c r="S12" s="16">
        <f>IFERROR(IF(ISNUMBER(Clean_Data!M12),Clean_Data!M12,0),0)</f>
        <v>24.1</v>
      </c>
      <c r="T12" s="16">
        <f>IF(Clean_Data!N12="","",IFERROR(IF(ISNUMBER(Clean_Data!N12),Clean_Data!N12,""),""))</f>
        <v>10.3</v>
      </c>
      <c r="U12" s="16">
        <f>IFERROR(IF(ISNUMBER(Clean_Data!O12),Clean_Data!O12,0),0)</f>
        <v>-13.8</v>
      </c>
      <c r="V12" s="2">
        <f ca="1">IFERROR(IF(ISNUMBER(Calc_Helper!E12),Calc_Helper!E12,0),0)</f>
        <v>795</v>
      </c>
      <c r="W12" s="2">
        <f ca="1">IFERROR(IF(ISNUMBER(Calc_Helper!F12),Calc_Helper!F12,0),0)</f>
        <v>742</v>
      </c>
      <c r="X12" s="2">
        <f>IFERROR(IF(ISNUMBER(Calc_Helper!G12),Calc_Helper!G12,0),0)</f>
        <v>0</v>
      </c>
      <c r="Y12" s="2">
        <f ca="1">IFERROR(IF(ISNUMBER(Calc_Helper!H12),Calc_Helper!H12,0),0)</f>
        <v>795</v>
      </c>
      <c r="Z12" s="19" t="b">
        <f>Calc_Helper!B12</f>
        <v>0</v>
      </c>
      <c r="AA12" s="2">
        <f>IF(Calc_Helper!B12=TRUE(),1,0)</f>
        <v>0</v>
      </c>
      <c r="AB12" s="19" t="b">
        <f>Calc_Helper!C12</f>
        <v>1</v>
      </c>
      <c r="AC12" s="2">
        <f>IF(Calc_Helper!C12=TRUE(),1,0)</f>
        <v>1</v>
      </c>
      <c r="AD12" s="19" t="b">
        <f ca="1">Calc_Helper!D12</f>
        <v>1</v>
      </c>
      <c r="AE12" s="2">
        <f ca="1">IF(Calc_Helper!D12=TRUE(),1,0)</f>
        <v>1</v>
      </c>
      <c r="AF12" s="19" t="b">
        <f ca="1">Calc_Helper!O12</f>
        <v>1</v>
      </c>
      <c r="AG12" s="2">
        <f ca="1">IF(Calc_Helper!O12=TRUE(),1,0)</f>
        <v>1</v>
      </c>
      <c r="AH12" s="19" t="b">
        <f>Calc_Helper!P12</f>
        <v>1</v>
      </c>
      <c r="AI12" s="2">
        <f>IF(Calc_Helper!P12=TRUE(),1,0)</f>
        <v>1</v>
      </c>
      <c r="AJ12" s="19" t="b">
        <f ca="1">Calc_Helper!Q12</f>
        <v>1</v>
      </c>
      <c r="AK12" s="2">
        <f ca="1">IF(Calc_Helper!Q12=TRUE(),1,0)</f>
        <v>1</v>
      </c>
      <c r="AL12" s="19" t="b">
        <f ca="1">Calc_Helper!R12</f>
        <v>1</v>
      </c>
      <c r="AM12" s="2">
        <f ca="1">IF(Calc_Helper!R12=TRUE(),1,0)</f>
        <v>1</v>
      </c>
      <c r="AN12" s="2" t="str">
        <f>IF(Calc_Helper!S12="","Unknown",Calc_Helper!S12)</f>
        <v>On Track</v>
      </c>
      <c r="AO12" s="2">
        <f>IF(OR(Calc_Helper!S12="Healthy",Calc_Helper!S12="On Track"),1,0)</f>
        <v>1</v>
      </c>
      <c r="AP12" s="2" t="str">
        <f>IFERROR(IF(Calc_Helper!T12="","",Calc_Helper!T12),"")</f>
        <v/>
      </c>
      <c r="AQ12" s="2">
        <f>IF(Calc_Helper!T12=TRUE(),1,0)</f>
        <v>0</v>
      </c>
    </row>
    <row r="13" spans="1:43" x14ac:dyDescent="0.3">
      <c r="A13" s="5" t="str">
        <f>IF(Clean_Data!A13="","Unknown",Clean_Data!A13)</f>
        <v>TSK-0012</v>
      </c>
      <c r="B13" s="5" t="str">
        <f>IF(Clean_Data!B13="","Unknown",Clean_Data!B13)</f>
        <v>Product Launch</v>
      </c>
      <c r="C13" s="5" t="str">
        <f>IF(Clean_Data!C13="","Unknown",Clean_Data!C13)</f>
        <v>HR</v>
      </c>
      <c r="D13" s="5" t="str">
        <f>IF(Clean_Data!D13="","Unknown",Clean_Data!D13)</f>
        <v>Arjun Mehta</v>
      </c>
      <c r="E13" s="5" t="str">
        <f>IF(Clean_Data!E13="","Unknown",Clean_Data!E13)</f>
        <v>Tester</v>
      </c>
      <c r="F13" s="5" t="str">
        <f>IF(Clean_Data!F13="","Unknown",Clean_Data!F13)</f>
        <v>Medium</v>
      </c>
      <c r="G13" s="5" t="str">
        <f>IF(Clean_Data!G13="","Unknown",Clean_Data!G13)</f>
        <v>Deployment</v>
      </c>
      <c r="H13" s="5" t="str">
        <f>IF(Clean_Data!K13="","Unknown",Clean_Data!K13)</f>
        <v>In Progress</v>
      </c>
      <c r="I13" s="13">
        <f>Clean_Data!H13</f>
        <v>45527</v>
      </c>
      <c r="J13" s="13">
        <f>Clean_Data!I13</f>
        <v>45539</v>
      </c>
      <c r="K13" s="13" t="str">
        <f>Clean_Data!J13</f>
        <v/>
      </c>
      <c r="L13" s="5" t="str">
        <f>IF(Calc_Helper!I13="","Unknown",Calc_Helper!I13)</f>
        <v>2024-09</v>
      </c>
      <c r="M13" s="5" t="str">
        <f>IF(Calc_Helper!J13="","Unknown",Calc_Helper!J13)</f>
        <v>2024-08</v>
      </c>
      <c r="N13" s="19" t="str">
        <f>IF(Calc_Helper!K13="","",Calc_Helper!K13)</f>
        <v/>
      </c>
      <c r="O13" s="5">
        <f>IFERROR(Calc_Helper!L13,"")</f>
        <v>2024</v>
      </c>
      <c r="P13" s="5">
        <f>IFERROR(Calc_Helper!M13,"")</f>
        <v>8</v>
      </c>
      <c r="Q13" s="5" t="str">
        <f>IF(Calc_Helper!N13="","Unknown",Calc_Helper!N13)</f>
        <v>August</v>
      </c>
      <c r="R13" s="17">
        <f>IFERROR(IF(ISNUMBER(Clean_Data!L13),Clean_Data!L13,0),0)</f>
        <v>0.38</v>
      </c>
      <c r="S13" s="18">
        <f>IFERROR(IF(ISNUMBER(Clean_Data!M13),Clean_Data!M13,0),0)</f>
        <v>48.7</v>
      </c>
      <c r="T13" s="16" t="str">
        <f>IF(Clean_Data!N13="","",IFERROR(IF(ISNUMBER(Clean_Data!N13),Clean_Data!N13,""),""))</f>
        <v/>
      </c>
      <c r="U13" s="18">
        <f>IFERROR(IF(ISNUMBER(Clean_Data!O13),Clean_Data!O13,0),0)</f>
        <v>0</v>
      </c>
      <c r="V13" s="5">
        <f ca="1">IFERROR(IF(ISNUMBER(Calc_Helper!E13),Calc_Helper!E13,0),0)</f>
        <v>599</v>
      </c>
      <c r="W13" s="5">
        <f ca="1">IFERROR(IF(ISNUMBER(Calc_Helper!F13),Calc_Helper!F13,0),0)</f>
        <v>587</v>
      </c>
      <c r="X13" s="5">
        <f>IFERROR(IF(ISNUMBER(Calc_Helper!G13),Calc_Helper!G13,0),0)</f>
        <v>0</v>
      </c>
      <c r="Y13" s="5">
        <f ca="1">IFERROR(IF(ISNUMBER(Calc_Helper!H13),Calc_Helper!H13,0),0)</f>
        <v>599</v>
      </c>
      <c r="Z13" s="20" t="b">
        <f>Calc_Helper!B13</f>
        <v>0</v>
      </c>
      <c r="AA13" s="5">
        <f>IF(Calc_Helper!B13=TRUE(),1,0)</f>
        <v>0</v>
      </c>
      <c r="AB13" s="20" t="b">
        <f>Calc_Helper!C13</f>
        <v>1</v>
      </c>
      <c r="AC13" s="5">
        <f>IF(Calc_Helper!C13=TRUE(),1,0)</f>
        <v>1</v>
      </c>
      <c r="AD13" s="20" t="b">
        <f ca="1">Calc_Helper!D13</f>
        <v>1</v>
      </c>
      <c r="AE13" s="5">
        <f ca="1">IF(Calc_Helper!D13=TRUE(),1,0)</f>
        <v>1</v>
      </c>
      <c r="AF13" s="20" t="b">
        <f ca="1">Calc_Helper!O13</f>
        <v>1</v>
      </c>
      <c r="AG13" s="5">
        <f ca="1">IF(Calc_Helper!O13=TRUE(),1,0)</f>
        <v>1</v>
      </c>
      <c r="AH13" s="20" t="b">
        <f>Calc_Helper!P13</f>
        <v>0</v>
      </c>
      <c r="AI13" s="5">
        <f>IF(Calc_Helper!P13=TRUE(),1,0)</f>
        <v>0</v>
      </c>
      <c r="AJ13" s="20" t="b">
        <f ca="1">Calc_Helper!Q13</f>
        <v>0</v>
      </c>
      <c r="AK13" s="5">
        <f ca="1">IF(Calc_Helper!Q13=TRUE(),1,0)</f>
        <v>0</v>
      </c>
      <c r="AL13" s="20" t="b">
        <f ca="1">Calc_Helper!R13</f>
        <v>1</v>
      </c>
      <c r="AM13" s="5">
        <f ca="1">IF(Calc_Helper!R13=TRUE(),1,0)</f>
        <v>1</v>
      </c>
      <c r="AN13" s="5" t="str">
        <f>IF(Calc_Helper!S13="","Unknown",Calc_Helper!S13)</f>
        <v>Slow</v>
      </c>
      <c r="AO13" s="5">
        <f>IF(OR(Calc_Helper!S13="Healthy",Calc_Helper!S13="On Track"),1,0)</f>
        <v>0</v>
      </c>
      <c r="AP13" s="5" t="str">
        <f>IFERROR(IF(Calc_Helper!T13="","",Calc_Helper!T13),"")</f>
        <v/>
      </c>
      <c r="AQ13" s="5">
        <f>IF(Calc_Helper!T13=TRUE(),1,0)</f>
        <v>0</v>
      </c>
    </row>
    <row r="14" spans="1:43" x14ac:dyDescent="0.3">
      <c r="A14" s="2" t="str">
        <f>IF(Clean_Data!A14="","Unknown",Clean_Data!A14)</f>
        <v>TSK-0013</v>
      </c>
      <c r="B14" s="2" t="str">
        <f>IF(Clean_Data!B14="","Unknown",Clean_Data!B14)</f>
        <v>CRM Migration</v>
      </c>
      <c r="C14" s="2" t="str">
        <f>IF(Clean_Data!C14="","Unknown",Clean_Data!C14)</f>
        <v>IT</v>
      </c>
      <c r="D14" s="2" t="str">
        <f>IF(Clean_Data!D14="","Unknown",Clean_Data!D14)</f>
        <v>Sneha Gupta</v>
      </c>
      <c r="E14" s="2" t="str">
        <f>IF(Clean_Data!E14="","Unknown",Clean_Data!E14)</f>
        <v>Analyst</v>
      </c>
      <c r="F14" s="2" t="str">
        <f>IF(Clean_Data!F14="","Unknown",Clean_Data!F14)</f>
        <v>Critical</v>
      </c>
      <c r="G14" s="2" t="str">
        <f>IF(Clean_Data!G14="","Unknown",Clean_Data!G14)</f>
        <v>Development</v>
      </c>
      <c r="H14" s="2" t="str">
        <f>IF(Clean_Data!K14="","Unknown",Clean_Data!K14)</f>
        <v>Cancelled</v>
      </c>
      <c r="I14" s="10">
        <f>Clean_Data!H14</f>
        <v>45465</v>
      </c>
      <c r="J14" s="10">
        <f>Clean_Data!I14</f>
        <v>45474</v>
      </c>
      <c r="K14" s="10" t="str">
        <f>Clean_Data!J14</f>
        <v/>
      </c>
      <c r="L14" s="2" t="str">
        <f>IF(Calc_Helper!I14="","Unknown",Calc_Helper!I14)</f>
        <v>2024-07</v>
      </c>
      <c r="M14" s="2" t="str">
        <f>IF(Calc_Helper!J14="","Unknown",Calc_Helper!J14)</f>
        <v>2024-06</v>
      </c>
      <c r="N14" s="19" t="str">
        <f>IF(Calc_Helper!K14="","",Calc_Helper!K14)</f>
        <v/>
      </c>
      <c r="O14" s="2">
        <f>IFERROR(Calc_Helper!L14,"")</f>
        <v>2024</v>
      </c>
      <c r="P14" s="2">
        <f>IFERROR(Calc_Helper!M14,"")</f>
        <v>6</v>
      </c>
      <c r="Q14" s="2" t="str">
        <f>IF(Calc_Helper!N14="","Unknown",Calc_Helper!N14)</f>
        <v>June</v>
      </c>
      <c r="R14" s="15">
        <f>IFERROR(IF(ISNUMBER(Clean_Data!L14),Clean_Data!L14,0),0)</f>
        <v>0</v>
      </c>
      <c r="S14" s="16">
        <f>IFERROR(IF(ISNUMBER(Clean_Data!M14),Clean_Data!M14,0),0)</f>
        <v>25.2</v>
      </c>
      <c r="T14" s="16">
        <f>IF(Clean_Data!N14="","",IFERROR(IF(ISNUMBER(Clean_Data!N14),Clean_Data!N14,""),""))</f>
        <v>0</v>
      </c>
      <c r="U14" s="16">
        <f>IFERROR(IF(ISNUMBER(Clean_Data!O14),Clean_Data!O14,0),0)</f>
        <v>-25.2</v>
      </c>
      <c r="V14" s="2">
        <f ca="1">IFERROR(IF(ISNUMBER(Calc_Helper!E14),Calc_Helper!E14,0),0)</f>
        <v>0</v>
      </c>
      <c r="W14" s="2">
        <f ca="1">IFERROR(IF(ISNUMBER(Calc_Helper!F14),Calc_Helper!F14,0),0)</f>
        <v>0</v>
      </c>
      <c r="X14" s="2">
        <f>IFERROR(IF(ISNUMBER(Calc_Helper!G14),Calc_Helper!G14,0),0)</f>
        <v>0</v>
      </c>
      <c r="Y14" s="2">
        <f ca="1">IFERROR(IF(ISNUMBER(Calc_Helper!H14),Calc_Helper!H14,0),0)</f>
        <v>661</v>
      </c>
      <c r="Z14" s="19" t="b">
        <f>Calc_Helper!B14</f>
        <v>0</v>
      </c>
      <c r="AA14" s="2">
        <f>IF(Calc_Helper!B14=TRUE(),1,0)</f>
        <v>0</v>
      </c>
      <c r="AB14" s="19" t="b">
        <f>Calc_Helper!C14</f>
        <v>0</v>
      </c>
      <c r="AC14" s="2">
        <f>IF(Calc_Helper!C14=TRUE(),1,0)</f>
        <v>0</v>
      </c>
      <c r="AD14" s="19" t="b">
        <f ca="1">Calc_Helper!D14</f>
        <v>0</v>
      </c>
      <c r="AE14" s="2">
        <f ca="1">IF(Calc_Helper!D14=TRUE(),1,0)</f>
        <v>0</v>
      </c>
      <c r="AF14" s="19" t="b">
        <f ca="1">Calc_Helper!O14</f>
        <v>0</v>
      </c>
      <c r="AG14" s="2">
        <f ca="1">IF(Calc_Helper!O14=TRUE(),1,0)</f>
        <v>0</v>
      </c>
      <c r="AH14" s="19" t="b">
        <f>Calc_Helper!P14</f>
        <v>0</v>
      </c>
      <c r="AI14" s="2">
        <f>IF(Calc_Helper!P14=TRUE(),1,0)</f>
        <v>0</v>
      </c>
      <c r="AJ14" s="19" t="b">
        <f ca="1">Calc_Helper!Q14</f>
        <v>0</v>
      </c>
      <c r="AK14" s="2">
        <f ca="1">IF(Calc_Helper!Q14=TRUE(),1,0)</f>
        <v>0</v>
      </c>
      <c r="AL14" s="19" t="b">
        <f ca="1">Calc_Helper!R14</f>
        <v>0</v>
      </c>
      <c r="AM14" s="2">
        <f ca="1">IF(Calc_Helper!R14=TRUE(),1,0)</f>
        <v>0</v>
      </c>
      <c r="AN14" s="2" t="str">
        <f>IF(Calc_Helper!S14="","Unknown",Calc_Helper!S14)</f>
        <v>N/A</v>
      </c>
      <c r="AO14" s="2">
        <f>IF(OR(Calc_Helper!S14="Healthy",Calc_Helper!S14="On Track"),1,0)</f>
        <v>0</v>
      </c>
      <c r="AP14" s="2" t="str">
        <f>IFERROR(IF(Calc_Helper!T14="","",Calc_Helper!T14),"")</f>
        <v/>
      </c>
      <c r="AQ14" s="2">
        <f>IF(Calc_Helper!T14=TRUE(),1,0)</f>
        <v>0</v>
      </c>
    </row>
    <row r="15" spans="1:43" x14ac:dyDescent="0.3">
      <c r="A15" s="5" t="str">
        <f>IF(Clean_Data!A15="","Unknown",Clean_Data!A15)</f>
        <v>TSK-0014</v>
      </c>
      <c r="B15" s="5" t="str">
        <f>IF(Clean_Data!B15="","Unknown",Clean_Data!B15)</f>
        <v>Annual Audit</v>
      </c>
      <c r="C15" s="5" t="str">
        <f>IF(Clean_Data!C15="","Unknown",Clean_Data!C15)</f>
        <v>Sales</v>
      </c>
      <c r="D15" s="5" t="str">
        <f>IF(Clean_Data!D15="","Unknown",Clean_Data!D15)</f>
        <v>Sneha Gupta</v>
      </c>
      <c r="E15" s="5" t="str">
        <f>IF(Clean_Data!E15="","Unknown",Clean_Data!E15)</f>
        <v>Lead</v>
      </c>
      <c r="F15" s="5" t="str">
        <f>IF(Clean_Data!F15="","Unknown",Clean_Data!F15)</f>
        <v>Critical</v>
      </c>
      <c r="G15" s="5" t="str">
        <f>IF(Clean_Data!G15="","Unknown",Clean_Data!G15)</f>
        <v>Documentation</v>
      </c>
      <c r="H15" s="5" t="str">
        <f>IF(Clean_Data!K15="","Unknown",Clean_Data!K15)</f>
        <v>Completed</v>
      </c>
      <c r="I15" s="13">
        <f>Clean_Data!H15</f>
        <v>45393</v>
      </c>
      <c r="J15" s="13">
        <f>Clean_Data!I15</f>
        <v>45404</v>
      </c>
      <c r="K15" s="13">
        <f>Clean_Data!J15</f>
        <v>45415</v>
      </c>
      <c r="L15" s="5" t="str">
        <f>IF(Calc_Helper!I15="","Unknown",Calc_Helper!I15)</f>
        <v>2024-04</v>
      </c>
      <c r="M15" s="5" t="str">
        <f>IF(Calc_Helper!J15="","Unknown",Calc_Helper!J15)</f>
        <v>2024-04</v>
      </c>
      <c r="N15" s="19" t="str">
        <f>IF(Calc_Helper!K15="","",Calc_Helper!K15)</f>
        <v>2024-05</v>
      </c>
      <c r="O15" s="5">
        <f>IFERROR(Calc_Helper!L15,"")</f>
        <v>2024</v>
      </c>
      <c r="P15" s="5">
        <f>IFERROR(Calc_Helper!M15,"")</f>
        <v>4</v>
      </c>
      <c r="Q15" s="5" t="str">
        <f>IF(Calc_Helper!N15="","Unknown",Calc_Helper!N15)</f>
        <v>April</v>
      </c>
      <c r="R15" s="17">
        <f>IFERROR(IF(ISNUMBER(Clean_Data!L15),Clean_Data!L15,0),0)</f>
        <v>1</v>
      </c>
      <c r="S15" s="18">
        <f>IFERROR(IF(ISNUMBER(Clean_Data!M15),Clean_Data!M15,0),0)</f>
        <v>30.9</v>
      </c>
      <c r="T15" s="16">
        <f>IF(Clean_Data!N15="","",IFERROR(IF(ISNUMBER(Clean_Data!N15),Clean_Data!N15,""),""))</f>
        <v>32.299999999999997</v>
      </c>
      <c r="U15" s="18">
        <f>IFERROR(IF(ISNUMBER(Clean_Data!O15),Clean_Data!O15,0),0)</f>
        <v>1.3999999999999986</v>
      </c>
      <c r="V15" s="5">
        <f ca="1">IFERROR(IF(ISNUMBER(Calc_Helper!E15),Calc_Helper!E15,0),0)</f>
        <v>0</v>
      </c>
      <c r="W15" s="5">
        <f ca="1">IFERROR(IF(ISNUMBER(Calc_Helper!F15),Calc_Helper!F15,0),0)</f>
        <v>11</v>
      </c>
      <c r="X15" s="5">
        <f>IFERROR(IF(ISNUMBER(Calc_Helper!G15),Calc_Helper!G15,0),0)</f>
        <v>22</v>
      </c>
      <c r="Y15" s="5">
        <f ca="1">IFERROR(IF(ISNUMBER(Calc_Helper!H15),Calc_Helper!H15,0),0)</f>
        <v>22</v>
      </c>
      <c r="Z15" s="20" t="b">
        <f>Calc_Helper!B15</f>
        <v>1</v>
      </c>
      <c r="AA15" s="5">
        <f>IF(Calc_Helper!B15=TRUE(),1,0)</f>
        <v>1</v>
      </c>
      <c r="AB15" s="20" t="b">
        <f>Calc_Helper!C15</f>
        <v>0</v>
      </c>
      <c r="AC15" s="5">
        <f>IF(Calc_Helper!C15=TRUE(),1,0)</f>
        <v>0</v>
      </c>
      <c r="AD15" s="20" t="b">
        <f ca="1">Calc_Helper!D15</f>
        <v>0</v>
      </c>
      <c r="AE15" s="5">
        <f ca="1">IF(Calc_Helper!D15=TRUE(),1,0)</f>
        <v>0</v>
      </c>
      <c r="AF15" s="20" t="b">
        <f ca="1">Calc_Helper!O15</f>
        <v>0</v>
      </c>
      <c r="AG15" s="5">
        <f ca="1">IF(Calc_Helper!O15=TRUE(),1,0)</f>
        <v>0</v>
      </c>
      <c r="AH15" s="20" t="b">
        <f>Calc_Helper!P15</f>
        <v>0</v>
      </c>
      <c r="AI15" s="5">
        <f>IF(Calc_Helper!P15=TRUE(),1,0)</f>
        <v>0</v>
      </c>
      <c r="AJ15" s="20" t="b">
        <f ca="1">Calc_Helper!Q15</f>
        <v>0</v>
      </c>
      <c r="AK15" s="5">
        <f ca="1">IF(Calc_Helper!Q15=TRUE(),1,0)</f>
        <v>0</v>
      </c>
      <c r="AL15" s="20" t="b">
        <f ca="1">Calc_Helper!R15</f>
        <v>0</v>
      </c>
      <c r="AM15" s="5">
        <f ca="1">IF(Calc_Helper!R15=TRUE(),1,0)</f>
        <v>0</v>
      </c>
      <c r="AN15" s="5" t="str">
        <f>IF(Calc_Helper!S15="","Unknown",Calc_Helper!S15)</f>
        <v>Healthy</v>
      </c>
      <c r="AO15" s="5">
        <f>IF(OR(Calc_Helper!S15="Healthy",Calc_Helper!S15="On Track"),1,0)</f>
        <v>1</v>
      </c>
      <c r="AP15" s="20" t="b">
        <f>IFERROR(IF(Calc_Helper!T15="","",Calc_Helper!T15),"")</f>
        <v>0</v>
      </c>
      <c r="AQ15" s="5">
        <f>IF(Calc_Helper!T15=TRUE(),1,0)</f>
        <v>0</v>
      </c>
    </row>
    <row r="16" spans="1:43" x14ac:dyDescent="0.3">
      <c r="A16" s="2" t="str">
        <f>IF(Clean_Data!A16="","Unknown",Clean_Data!A16)</f>
        <v>TSK-0015</v>
      </c>
      <c r="B16" s="2" t="str">
        <f>IF(Clean_Data!B16="","Unknown",Clean_Data!B16)</f>
        <v>Website Redesign</v>
      </c>
      <c r="C16" s="2" t="str">
        <f>IF(Clean_Data!C16="","Unknown",Clean_Data!C16)</f>
        <v>Operations</v>
      </c>
      <c r="D16" s="2" t="str">
        <f>IF(Clean_Data!D16="","Unknown",Clean_Data!D16)</f>
        <v>Pooja Reddy</v>
      </c>
      <c r="E16" s="2" t="str">
        <f>IF(Clean_Data!E16="","Unknown",Clean_Data!E16)</f>
        <v>Designer</v>
      </c>
      <c r="F16" s="2" t="str">
        <f>IF(Clean_Data!F16="","Unknown",Clean_Data!F16)</f>
        <v>Critical</v>
      </c>
      <c r="G16" s="2" t="str">
        <f>IF(Clean_Data!G16="","Unknown",Clean_Data!G16)</f>
        <v>Testing</v>
      </c>
      <c r="H16" s="2" t="str">
        <f>IF(Clean_Data!K16="","Unknown",Clean_Data!K16)</f>
        <v>In Progress</v>
      </c>
      <c r="I16" s="10">
        <f>Clean_Data!H16</f>
        <v>45423</v>
      </c>
      <c r="J16" s="10">
        <f>Clean_Data!I16</f>
        <v>45440</v>
      </c>
      <c r="K16" s="10" t="str">
        <f>Clean_Data!J16</f>
        <v/>
      </c>
      <c r="L16" s="2" t="str">
        <f>IF(Calc_Helper!I16="","Unknown",Calc_Helper!I16)</f>
        <v>2024-05</v>
      </c>
      <c r="M16" s="2" t="str">
        <f>IF(Calc_Helper!J16="","Unknown",Calc_Helper!J16)</f>
        <v>2024-05</v>
      </c>
      <c r="N16" s="19" t="str">
        <f>IF(Calc_Helper!K16="","",Calc_Helper!K16)</f>
        <v/>
      </c>
      <c r="O16" s="2">
        <f>IFERROR(Calc_Helper!L16,"")</f>
        <v>2024</v>
      </c>
      <c r="P16" s="2">
        <f>IFERROR(Calc_Helper!M16,"")</f>
        <v>5</v>
      </c>
      <c r="Q16" s="2" t="str">
        <f>IF(Calc_Helper!N16="","Unknown",Calc_Helper!N16)</f>
        <v>May</v>
      </c>
      <c r="R16" s="15">
        <f>IFERROR(IF(ISNUMBER(Clean_Data!L16),Clean_Data!L16,0),0)</f>
        <v>0</v>
      </c>
      <c r="S16" s="16">
        <f>IFERROR(IF(ISNUMBER(Clean_Data!M16),Clean_Data!M16,0),0)</f>
        <v>17.899999999999999</v>
      </c>
      <c r="T16" s="16">
        <f>IF(Clean_Data!N16="","",IFERROR(IF(ISNUMBER(Clean_Data!N16),Clean_Data!N16,""),""))</f>
        <v>14.3</v>
      </c>
      <c r="U16" s="16">
        <f>IFERROR(IF(ISNUMBER(Clean_Data!O16),Clean_Data!O16,0),0)</f>
        <v>-3.5999999999999979</v>
      </c>
      <c r="V16" s="2">
        <f ca="1">IFERROR(IF(ISNUMBER(Calc_Helper!E16),Calc_Helper!E16,0),0)</f>
        <v>703</v>
      </c>
      <c r="W16" s="2">
        <f ca="1">IFERROR(IF(ISNUMBER(Calc_Helper!F16),Calc_Helper!F16,0),0)</f>
        <v>686</v>
      </c>
      <c r="X16" s="2">
        <f>IFERROR(IF(ISNUMBER(Calc_Helper!G16),Calc_Helper!G16,0),0)</f>
        <v>0</v>
      </c>
      <c r="Y16" s="2">
        <f ca="1">IFERROR(IF(ISNUMBER(Calc_Helper!H16),Calc_Helper!H16,0),0)</f>
        <v>703</v>
      </c>
      <c r="Z16" s="19" t="b">
        <f>Calc_Helper!B16</f>
        <v>0</v>
      </c>
      <c r="AA16" s="2">
        <f>IF(Calc_Helper!B16=TRUE(),1,0)</f>
        <v>0</v>
      </c>
      <c r="AB16" s="19" t="b">
        <f>Calc_Helper!C16</f>
        <v>1</v>
      </c>
      <c r="AC16" s="2">
        <f>IF(Calc_Helper!C16=TRUE(),1,0)</f>
        <v>1</v>
      </c>
      <c r="AD16" s="19" t="b">
        <f ca="1">Calc_Helper!D16</f>
        <v>1</v>
      </c>
      <c r="AE16" s="2">
        <f ca="1">IF(Calc_Helper!D16=TRUE(),1,0)</f>
        <v>1</v>
      </c>
      <c r="AF16" s="19" t="b">
        <f ca="1">Calc_Helper!O16</f>
        <v>1</v>
      </c>
      <c r="AG16" s="2">
        <f ca="1">IF(Calc_Helper!O16=TRUE(),1,0)</f>
        <v>1</v>
      </c>
      <c r="AH16" s="19" t="b">
        <f>Calc_Helper!P16</f>
        <v>1</v>
      </c>
      <c r="AI16" s="2">
        <f>IF(Calc_Helper!P16=TRUE(),1,0)</f>
        <v>1</v>
      </c>
      <c r="AJ16" s="19" t="b">
        <f ca="1">Calc_Helper!Q16</f>
        <v>1</v>
      </c>
      <c r="AK16" s="2">
        <f ca="1">IF(Calc_Helper!Q16=TRUE(),1,0)</f>
        <v>1</v>
      </c>
      <c r="AL16" s="19" t="b">
        <f ca="1">Calc_Helper!R16</f>
        <v>1</v>
      </c>
      <c r="AM16" s="2">
        <f ca="1">IF(Calc_Helper!R16=TRUE(),1,0)</f>
        <v>1</v>
      </c>
      <c r="AN16" s="2" t="str">
        <f>IF(Calc_Helper!S16="","Unknown",Calc_Helper!S16)</f>
        <v>N/A</v>
      </c>
      <c r="AO16" s="2">
        <f>IF(OR(Calc_Helper!S16="Healthy",Calc_Helper!S16="On Track"),1,0)</f>
        <v>0</v>
      </c>
      <c r="AP16" s="2" t="str">
        <f>IFERROR(IF(Calc_Helper!T16="","",Calc_Helper!T16),"")</f>
        <v/>
      </c>
      <c r="AQ16" s="2">
        <f>IF(Calc_Helper!T16=TRUE(),1,0)</f>
        <v>0</v>
      </c>
    </row>
    <row r="17" spans="1:43" x14ac:dyDescent="0.3">
      <c r="A17" s="5" t="str">
        <f>IF(Clean_Data!A17="","Unknown",Clean_Data!A17)</f>
        <v>TSK-0016</v>
      </c>
      <c r="B17" s="5" t="str">
        <f>IF(Clean_Data!B17="","Unknown",Clean_Data!B17)</f>
        <v>Supply Chain Optimization</v>
      </c>
      <c r="C17" s="5" t="str">
        <f>IF(Clean_Data!C17="","Unknown",Clean_Data!C17)</f>
        <v>Finance</v>
      </c>
      <c r="D17" s="5" t="str">
        <f>IF(Clean_Data!D17="","Unknown",Clean_Data!D17)</f>
        <v>Rahul Sharma</v>
      </c>
      <c r="E17" s="5" t="str">
        <f>IF(Clean_Data!E17="","Unknown",Clean_Data!E17)</f>
        <v>Analyst</v>
      </c>
      <c r="F17" s="5" t="str">
        <f>IF(Clean_Data!F17="","Unknown",Clean_Data!F17)</f>
        <v>High</v>
      </c>
      <c r="G17" s="5" t="str">
        <f>IF(Clean_Data!G17="","Unknown",Clean_Data!G17)</f>
        <v>Research</v>
      </c>
      <c r="H17" s="5" t="str">
        <f>IF(Clean_Data!K17="","Unknown",Clean_Data!K17)</f>
        <v>Cancelled</v>
      </c>
      <c r="I17" s="13">
        <f>Clean_Data!H17</f>
        <v>45381</v>
      </c>
      <c r="J17" s="13">
        <f>Clean_Data!I17</f>
        <v>45412</v>
      </c>
      <c r="K17" s="13" t="str">
        <f>Clean_Data!J17</f>
        <v/>
      </c>
      <c r="L17" s="5" t="str">
        <f>IF(Calc_Helper!I17="","Unknown",Calc_Helper!I17)</f>
        <v>2024-04</v>
      </c>
      <c r="M17" s="5" t="str">
        <f>IF(Calc_Helper!J17="","Unknown",Calc_Helper!J17)</f>
        <v>2024-03</v>
      </c>
      <c r="N17" s="19" t="str">
        <f>IF(Calc_Helper!K17="","",Calc_Helper!K17)</f>
        <v/>
      </c>
      <c r="O17" s="5">
        <f>IFERROR(Calc_Helper!L17,"")</f>
        <v>2024</v>
      </c>
      <c r="P17" s="5">
        <f>IFERROR(Calc_Helper!M17,"")</f>
        <v>3</v>
      </c>
      <c r="Q17" s="5" t="str">
        <f>IF(Calc_Helper!N17="","Unknown",Calc_Helper!N17)</f>
        <v>March</v>
      </c>
      <c r="R17" s="17">
        <f>IFERROR(IF(ISNUMBER(Clean_Data!L17),Clean_Data!L17,0),0)</f>
        <v>0</v>
      </c>
      <c r="S17" s="18">
        <f>IFERROR(IF(ISNUMBER(Clean_Data!M17),Clean_Data!M17,0),0)</f>
        <v>20.2</v>
      </c>
      <c r="T17" s="16">
        <f>IF(Clean_Data!N17="","",IFERROR(IF(ISNUMBER(Clean_Data!N17),Clean_Data!N17,""),""))</f>
        <v>0</v>
      </c>
      <c r="U17" s="18">
        <f>IFERROR(IF(ISNUMBER(Clean_Data!O17),Clean_Data!O17,0),0)</f>
        <v>-20.2</v>
      </c>
      <c r="V17" s="5">
        <f ca="1">IFERROR(IF(ISNUMBER(Calc_Helper!E17),Calc_Helper!E17,0),0)</f>
        <v>0</v>
      </c>
      <c r="W17" s="5">
        <f ca="1">IFERROR(IF(ISNUMBER(Calc_Helper!F17),Calc_Helper!F17,0),0)</f>
        <v>0</v>
      </c>
      <c r="X17" s="5">
        <f>IFERROR(IF(ISNUMBER(Calc_Helper!G17),Calc_Helper!G17,0),0)</f>
        <v>0</v>
      </c>
      <c r="Y17" s="5">
        <f ca="1">IFERROR(IF(ISNUMBER(Calc_Helper!H17),Calc_Helper!H17,0),0)</f>
        <v>745</v>
      </c>
      <c r="Z17" s="20" t="b">
        <f>Calc_Helper!B17</f>
        <v>0</v>
      </c>
      <c r="AA17" s="5">
        <f>IF(Calc_Helper!B17=TRUE(),1,0)</f>
        <v>0</v>
      </c>
      <c r="AB17" s="20" t="b">
        <f>Calc_Helper!C17</f>
        <v>0</v>
      </c>
      <c r="AC17" s="5">
        <f>IF(Calc_Helper!C17=TRUE(),1,0)</f>
        <v>0</v>
      </c>
      <c r="AD17" s="20" t="b">
        <f ca="1">Calc_Helper!D17</f>
        <v>0</v>
      </c>
      <c r="AE17" s="5">
        <f ca="1">IF(Calc_Helper!D17=TRUE(),1,0)</f>
        <v>0</v>
      </c>
      <c r="AF17" s="20" t="b">
        <f ca="1">Calc_Helper!O17</f>
        <v>0</v>
      </c>
      <c r="AG17" s="5">
        <f ca="1">IF(Calc_Helper!O17=TRUE(),1,0)</f>
        <v>0</v>
      </c>
      <c r="AH17" s="20" t="b">
        <f>Calc_Helper!P17</f>
        <v>0</v>
      </c>
      <c r="AI17" s="5">
        <f>IF(Calc_Helper!P17=TRUE(),1,0)</f>
        <v>0</v>
      </c>
      <c r="AJ17" s="20" t="b">
        <f ca="1">Calc_Helper!Q17</f>
        <v>0</v>
      </c>
      <c r="AK17" s="5">
        <f ca="1">IF(Calc_Helper!Q17=TRUE(),1,0)</f>
        <v>0</v>
      </c>
      <c r="AL17" s="20" t="b">
        <f ca="1">Calc_Helper!R17</f>
        <v>0</v>
      </c>
      <c r="AM17" s="5">
        <f ca="1">IF(Calc_Helper!R17=TRUE(),1,0)</f>
        <v>0</v>
      </c>
      <c r="AN17" s="5" t="str">
        <f>IF(Calc_Helper!S17="","Unknown",Calc_Helper!S17)</f>
        <v>N/A</v>
      </c>
      <c r="AO17" s="5">
        <f>IF(OR(Calc_Helper!S17="Healthy",Calc_Helper!S17="On Track"),1,0)</f>
        <v>0</v>
      </c>
      <c r="AP17" s="5" t="str">
        <f>IFERROR(IF(Calc_Helper!T17="","",Calc_Helper!T17),"")</f>
        <v/>
      </c>
      <c r="AQ17" s="5">
        <f>IF(Calc_Helper!T17=TRUE(),1,0)</f>
        <v>0</v>
      </c>
    </row>
    <row r="18" spans="1:43" x14ac:dyDescent="0.3">
      <c r="A18" s="2" t="str">
        <f>IF(Clean_Data!A18="","Unknown",Clean_Data!A18)</f>
        <v>TSK-0017</v>
      </c>
      <c r="B18" s="2" t="str">
        <f>IF(Clean_Data!B18="","Unknown",Clean_Data!B18)</f>
        <v>Marketing Campaign</v>
      </c>
      <c r="C18" s="2" t="str">
        <f>IF(Clean_Data!C18="","Unknown",Clean_Data!C18)</f>
        <v>IT</v>
      </c>
      <c r="D18" s="2" t="str">
        <f>IF(Clean_Data!D18="","Unknown",Clean_Data!D18)</f>
        <v>Arjun Mehta</v>
      </c>
      <c r="E18" s="2" t="str">
        <f>IF(Clean_Data!E18="","Unknown",Clean_Data!E18)</f>
        <v>Manager</v>
      </c>
      <c r="F18" s="2" t="str">
        <f>IF(Clean_Data!F18="","Unknown",Clean_Data!F18)</f>
        <v>Critical</v>
      </c>
      <c r="G18" s="2" t="str">
        <f>IF(Clean_Data!G18="","Unknown",Clean_Data!G18)</f>
        <v>Documentation</v>
      </c>
      <c r="H18" s="2" t="str">
        <f>IF(Clean_Data!K18="","Unknown",Clean_Data!K18)</f>
        <v>Cancelled</v>
      </c>
      <c r="I18" s="10">
        <f>Clean_Data!H18</f>
        <v>45442</v>
      </c>
      <c r="J18" s="10">
        <f>Clean_Data!I18</f>
        <v>45474</v>
      </c>
      <c r="K18" s="10" t="str">
        <f>Clean_Data!J18</f>
        <v/>
      </c>
      <c r="L18" s="2" t="str">
        <f>IF(Calc_Helper!I18="","Unknown",Calc_Helper!I18)</f>
        <v>2024-07</v>
      </c>
      <c r="M18" s="2" t="str">
        <f>IF(Calc_Helper!J18="","Unknown",Calc_Helper!J18)</f>
        <v>2024-05</v>
      </c>
      <c r="N18" s="19" t="str">
        <f>IF(Calc_Helper!K18="","",Calc_Helper!K18)</f>
        <v/>
      </c>
      <c r="O18" s="2">
        <f>IFERROR(Calc_Helper!L18,"")</f>
        <v>2024</v>
      </c>
      <c r="P18" s="2">
        <f>IFERROR(Calc_Helper!M18,"")</f>
        <v>5</v>
      </c>
      <c r="Q18" s="2" t="str">
        <f>IF(Calc_Helper!N18="","Unknown",Calc_Helper!N18)</f>
        <v>May</v>
      </c>
      <c r="R18" s="15">
        <f>IFERROR(IF(ISNUMBER(Clean_Data!L18),Clean_Data!L18,0),0)</f>
        <v>0</v>
      </c>
      <c r="S18" s="16">
        <f>IFERROR(IF(ISNUMBER(Clean_Data!M18),Clean_Data!M18,0),0)</f>
        <v>18.399999999999999</v>
      </c>
      <c r="T18" s="16" t="str">
        <f>IF(Clean_Data!N18="","",IFERROR(IF(ISNUMBER(Clean_Data!N18),Clean_Data!N18,""),""))</f>
        <v/>
      </c>
      <c r="U18" s="16">
        <f>IFERROR(IF(ISNUMBER(Clean_Data!O18),Clean_Data!O18,0),0)</f>
        <v>0</v>
      </c>
      <c r="V18" s="2">
        <f ca="1">IFERROR(IF(ISNUMBER(Calc_Helper!E18),Calc_Helper!E18,0),0)</f>
        <v>0</v>
      </c>
      <c r="W18" s="2">
        <f ca="1">IFERROR(IF(ISNUMBER(Calc_Helper!F18),Calc_Helper!F18,0),0)</f>
        <v>0</v>
      </c>
      <c r="X18" s="2">
        <f>IFERROR(IF(ISNUMBER(Calc_Helper!G18),Calc_Helper!G18,0),0)</f>
        <v>0</v>
      </c>
      <c r="Y18" s="2">
        <f ca="1">IFERROR(IF(ISNUMBER(Calc_Helper!H18),Calc_Helper!H18,0),0)</f>
        <v>684</v>
      </c>
      <c r="Z18" s="19" t="b">
        <f>Calc_Helper!B18</f>
        <v>0</v>
      </c>
      <c r="AA18" s="2">
        <f>IF(Calc_Helper!B18=TRUE(),1,0)</f>
        <v>0</v>
      </c>
      <c r="AB18" s="19" t="b">
        <f>Calc_Helper!C18</f>
        <v>0</v>
      </c>
      <c r="AC18" s="2">
        <f>IF(Calc_Helper!C18=TRUE(),1,0)</f>
        <v>0</v>
      </c>
      <c r="AD18" s="19" t="b">
        <f ca="1">Calc_Helper!D18</f>
        <v>0</v>
      </c>
      <c r="AE18" s="2">
        <f ca="1">IF(Calc_Helper!D18=TRUE(),1,0)</f>
        <v>0</v>
      </c>
      <c r="AF18" s="19" t="b">
        <f ca="1">Calc_Helper!O18</f>
        <v>0</v>
      </c>
      <c r="AG18" s="2">
        <f ca="1">IF(Calc_Helper!O18=TRUE(),1,0)</f>
        <v>0</v>
      </c>
      <c r="AH18" s="19" t="b">
        <f>Calc_Helper!P18</f>
        <v>0</v>
      </c>
      <c r="AI18" s="2">
        <f>IF(Calc_Helper!P18=TRUE(),1,0)</f>
        <v>0</v>
      </c>
      <c r="AJ18" s="19" t="b">
        <f ca="1">Calc_Helper!Q18</f>
        <v>0</v>
      </c>
      <c r="AK18" s="2">
        <f ca="1">IF(Calc_Helper!Q18=TRUE(),1,0)</f>
        <v>0</v>
      </c>
      <c r="AL18" s="19" t="b">
        <f ca="1">Calc_Helper!R18</f>
        <v>0</v>
      </c>
      <c r="AM18" s="2">
        <f ca="1">IF(Calc_Helper!R18=TRUE(),1,0)</f>
        <v>0</v>
      </c>
      <c r="AN18" s="2" t="str">
        <f>IF(Calc_Helper!S18="","Unknown",Calc_Helper!S18)</f>
        <v>N/A</v>
      </c>
      <c r="AO18" s="2">
        <f>IF(OR(Calc_Helper!S18="Healthy",Calc_Helper!S18="On Track"),1,0)</f>
        <v>0</v>
      </c>
      <c r="AP18" s="2" t="str">
        <f>IFERROR(IF(Calc_Helper!T18="","",Calc_Helper!T18),"")</f>
        <v/>
      </c>
      <c r="AQ18" s="2">
        <f>IF(Calc_Helper!T18=TRUE(),1,0)</f>
        <v>0</v>
      </c>
    </row>
    <row r="19" spans="1:43" x14ac:dyDescent="0.3">
      <c r="A19" s="5" t="str">
        <f>IF(Clean_Data!A19="","Unknown",Clean_Data!A19)</f>
        <v>TSK-0018</v>
      </c>
      <c r="B19" s="5" t="str">
        <f>IF(Clean_Data!B19="","Unknown",Clean_Data!B19)</f>
        <v>Supply Chain Optimization</v>
      </c>
      <c r="C19" s="5" t="str">
        <f>IF(Clean_Data!C19="","Unknown",Clean_Data!C19)</f>
        <v>IT</v>
      </c>
      <c r="D19" s="5" t="str">
        <f>IF(Clean_Data!D19="","Unknown",Clean_Data!D19)</f>
        <v>Pooja Reddy</v>
      </c>
      <c r="E19" s="5" t="str">
        <f>IF(Clean_Data!E19="","Unknown",Clean_Data!E19)</f>
        <v>Designer</v>
      </c>
      <c r="F19" s="5" t="str">
        <f>IF(Clean_Data!F19="","Unknown",Clean_Data!F19)</f>
        <v>High</v>
      </c>
      <c r="G19" s="5" t="str">
        <f>IF(Clean_Data!G19="","Unknown",Clean_Data!G19)</f>
        <v>Development</v>
      </c>
      <c r="H19" s="5" t="str">
        <f>IF(Clean_Data!K19="","Unknown",Clean_Data!K19)</f>
        <v>Cancelled</v>
      </c>
      <c r="I19" s="13">
        <f>Clean_Data!H19</f>
        <v>45595</v>
      </c>
      <c r="J19" s="13">
        <f>Clean_Data!I19</f>
        <v>45630</v>
      </c>
      <c r="K19" s="13" t="str">
        <f>Clean_Data!J19</f>
        <v/>
      </c>
      <c r="L19" s="5" t="str">
        <f>IF(Calc_Helper!I19="","Unknown",Calc_Helper!I19)</f>
        <v>2024-12</v>
      </c>
      <c r="M19" s="5" t="str">
        <f>IF(Calc_Helper!J19="","Unknown",Calc_Helper!J19)</f>
        <v>2024-10</v>
      </c>
      <c r="N19" s="19" t="str">
        <f>IF(Calc_Helper!K19="","",Calc_Helper!K19)</f>
        <v/>
      </c>
      <c r="O19" s="5">
        <f>IFERROR(Calc_Helper!L19,"")</f>
        <v>2024</v>
      </c>
      <c r="P19" s="5">
        <f>IFERROR(Calc_Helper!M19,"")</f>
        <v>10</v>
      </c>
      <c r="Q19" s="5" t="str">
        <f>IF(Calc_Helper!N19="","Unknown",Calc_Helper!N19)</f>
        <v>October</v>
      </c>
      <c r="R19" s="17">
        <f>IFERROR(IF(ISNUMBER(Clean_Data!L19),Clean_Data!L19,0),0)</f>
        <v>0</v>
      </c>
      <c r="S19" s="18">
        <f>IFERROR(IF(ISNUMBER(Clean_Data!M19),Clean_Data!M19,0),0)</f>
        <v>16</v>
      </c>
      <c r="T19" s="16" t="str">
        <f>IF(Clean_Data!N19="","",IFERROR(IF(ISNUMBER(Clean_Data!N19),Clean_Data!N19,""),""))</f>
        <v/>
      </c>
      <c r="U19" s="18">
        <f>IFERROR(IF(ISNUMBER(Clean_Data!O19),Clean_Data!O19,0),0)</f>
        <v>0</v>
      </c>
      <c r="V19" s="5">
        <f ca="1">IFERROR(IF(ISNUMBER(Calc_Helper!E19),Calc_Helper!E19,0),0)</f>
        <v>0</v>
      </c>
      <c r="W19" s="5">
        <f ca="1">IFERROR(IF(ISNUMBER(Calc_Helper!F19),Calc_Helper!F19,0),0)</f>
        <v>0</v>
      </c>
      <c r="X19" s="5">
        <f>IFERROR(IF(ISNUMBER(Calc_Helper!G19),Calc_Helper!G19,0),0)</f>
        <v>0</v>
      </c>
      <c r="Y19" s="5">
        <f ca="1">IFERROR(IF(ISNUMBER(Calc_Helper!H19),Calc_Helper!H19,0),0)</f>
        <v>531</v>
      </c>
      <c r="Z19" s="20" t="b">
        <f>Calc_Helper!B19</f>
        <v>0</v>
      </c>
      <c r="AA19" s="5">
        <f>IF(Calc_Helper!B19=TRUE(),1,0)</f>
        <v>0</v>
      </c>
      <c r="AB19" s="20" t="b">
        <f>Calc_Helper!C19</f>
        <v>0</v>
      </c>
      <c r="AC19" s="5">
        <f>IF(Calc_Helper!C19=TRUE(),1,0)</f>
        <v>0</v>
      </c>
      <c r="AD19" s="20" t="b">
        <f ca="1">Calc_Helper!D19</f>
        <v>0</v>
      </c>
      <c r="AE19" s="5">
        <f ca="1">IF(Calc_Helper!D19=TRUE(),1,0)</f>
        <v>0</v>
      </c>
      <c r="AF19" s="20" t="b">
        <f ca="1">Calc_Helper!O19</f>
        <v>0</v>
      </c>
      <c r="AG19" s="5">
        <f ca="1">IF(Calc_Helper!O19=TRUE(),1,0)</f>
        <v>0</v>
      </c>
      <c r="AH19" s="20" t="b">
        <f>Calc_Helper!P19</f>
        <v>0</v>
      </c>
      <c r="AI19" s="5">
        <f>IF(Calc_Helper!P19=TRUE(),1,0)</f>
        <v>0</v>
      </c>
      <c r="AJ19" s="20" t="b">
        <f ca="1">Calc_Helper!Q19</f>
        <v>0</v>
      </c>
      <c r="AK19" s="5">
        <f ca="1">IF(Calc_Helper!Q19=TRUE(),1,0)</f>
        <v>0</v>
      </c>
      <c r="AL19" s="20" t="b">
        <f ca="1">Calc_Helper!R19</f>
        <v>0</v>
      </c>
      <c r="AM19" s="5">
        <f ca="1">IF(Calc_Helper!R19=TRUE(),1,0)</f>
        <v>0</v>
      </c>
      <c r="AN19" s="5" t="str">
        <f>IF(Calc_Helper!S19="","Unknown",Calc_Helper!S19)</f>
        <v>N/A</v>
      </c>
      <c r="AO19" s="5">
        <f>IF(OR(Calc_Helper!S19="Healthy",Calc_Helper!S19="On Track"),1,0)</f>
        <v>0</v>
      </c>
      <c r="AP19" s="5" t="str">
        <f>IFERROR(IF(Calc_Helper!T19="","",Calc_Helper!T19),"")</f>
        <v/>
      </c>
      <c r="AQ19" s="5">
        <f>IF(Calc_Helper!T19=TRUE(),1,0)</f>
        <v>0</v>
      </c>
    </row>
    <row r="20" spans="1:43" x14ac:dyDescent="0.3">
      <c r="A20" s="2" t="str">
        <f>IF(Clean_Data!A20="","Unknown",Clean_Data!A20)</f>
        <v>TSK-0019</v>
      </c>
      <c r="B20" s="2" t="str">
        <f>IF(Clean_Data!B20="","Unknown",Clean_Data!B20)</f>
        <v>CRM Migration</v>
      </c>
      <c r="C20" s="2" t="str">
        <f>IF(Clean_Data!C20="","Unknown",Clean_Data!C20)</f>
        <v>IT</v>
      </c>
      <c r="D20" s="2" t="str">
        <f>IF(Clean_Data!D20="","Unknown",Clean_Data!D20)</f>
        <v>Rohan Iyer</v>
      </c>
      <c r="E20" s="2" t="str">
        <f>IF(Clean_Data!E20="","Unknown",Clean_Data!E20)</f>
        <v>Manager</v>
      </c>
      <c r="F20" s="2" t="str">
        <f>IF(Clean_Data!F20="","Unknown",Clean_Data!F20)</f>
        <v>Medium</v>
      </c>
      <c r="G20" s="2" t="str">
        <f>IF(Clean_Data!G20="","Unknown",Clean_Data!G20)</f>
        <v>Testing</v>
      </c>
      <c r="H20" s="2" t="str">
        <f>IF(Clean_Data!K20="","Unknown",Clean_Data!K20)</f>
        <v>Completed</v>
      </c>
      <c r="I20" s="10">
        <f>Clean_Data!H20</f>
        <v>45587</v>
      </c>
      <c r="J20" s="10">
        <f>Clean_Data!I20</f>
        <v>45607</v>
      </c>
      <c r="K20" s="10">
        <f>Clean_Data!J20</f>
        <v>45616</v>
      </c>
      <c r="L20" s="2" t="str">
        <f>IF(Calc_Helper!I20="","Unknown",Calc_Helper!I20)</f>
        <v>2024-11</v>
      </c>
      <c r="M20" s="2" t="str">
        <f>IF(Calc_Helper!J20="","Unknown",Calc_Helper!J20)</f>
        <v>2024-10</v>
      </c>
      <c r="N20" s="19" t="str">
        <f>IF(Calc_Helper!K20="","",Calc_Helper!K20)</f>
        <v>2024-11</v>
      </c>
      <c r="O20" s="2">
        <f>IFERROR(Calc_Helper!L20,"")</f>
        <v>2024</v>
      </c>
      <c r="P20" s="2">
        <f>IFERROR(Calc_Helper!M20,"")</f>
        <v>10</v>
      </c>
      <c r="Q20" s="2" t="str">
        <f>IF(Calc_Helper!N20="","Unknown",Calc_Helper!N20)</f>
        <v>October</v>
      </c>
      <c r="R20" s="15">
        <f>IFERROR(IF(ISNUMBER(Clean_Data!L20),Clean_Data!L20,0),0)</f>
        <v>1</v>
      </c>
      <c r="S20" s="16">
        <f>IFERROR(IF(ISNUMBER(Clean_Data!M20),Clean_Data!M20,0),0)</f>
        <v>35.9</v>
      </c>
      <c r="T20" s="16">
        <f>IF(Clean_Data!N20="","",IFERROR(IF(ISNUMBER(Clean_Data!N20),Clean_Data!N20,""),""))</f>
        <v>44.2</v>
      </c>
      <c r="U20" s="16">
        <f>IFERROR(IF(ISNUMBER(Clean_Data!O20),Clean_Data!O20,0),0)</f>
        <v>8.3000000000000043</v>
      </c>
      <c r="V20" s="2">
        <f ca="1">IFERROR(IF(ISNUMBER(Calc_Helper!E20),Calc_Helper!E20,0),0)</f>
        <v>0</v>
      </c>
      <c r="W20" s="2">
        <f ca="1">IFERROR(IF(ISNUMBER(Calc_Helper!F20),Calc_Helper!F20,0),0)</f>
        <v>9</v>
      </c>
      <c r="X20" s="2">
        <f>IFERROR(IF(ISNUMBER(Calc_Helper!G20),Calc_Helper!G20,0),0)</f>
        <v>29</v>
      </c>
      <c r="Y20" s="2">
        <f ca="1">IFERROR(IF(ISNUMBER(Calc_Helper!H20),Calc_Helper!H20,0),0)</f>
        <v>29</v>
      </c>
      <c r="Z20" s="19" t="b">
        <f>Calc_Helper!B20</f>
        <v>1</v>
      </c>
      <c r="AA20" s="2">
        <f>IF(Calc_Helper!B20=TRUE(),1,0)</f>
        <v>1</v>
      </c>
      <c r="AB20" s="19" t="b">
        <f>Calc_Helper!C20</f>
        <v>0</v>
      </c>
      <c r="AC20" s="2">
        <f>IF(Calc_Helper!C20=TRUE(),1,0)</f>
        <v>0</v>
      </c>
      <c r="AD20" s="19" t="b">
        <f ca="1">Calc_Helper!D20</f>
        <v>0</v>
      </c>
      <c r="AE20" s="2">
        <f ca="1">IF(Calc_Helper!D20=TRUE(),1,0)</f>
        <v>0</v>
      </c>
      <c r="AF20" s="19" t="b">
        <f ca="1">Calc_Helper!O20</f>
        <v>0</v>
      </c>
      <c r="AG20" s="2">
        <f ca="1">IF(Calc_Helper!O20=TRUE(),1,0)</f>
        <v>0</v>
      </c>
      <c r="AH20" s="19" t="b">
        <f>Calc_Helper!P20</f>
        <v>0</v>
      </c>
      <c r="AI20" s="2">
        <f>IF(Calc_Helper!P20=TRUE(),1,0)</f>
        <v>0</v>
      </c>
      <c r="AJ20" s="19" t="b">
        <f ca="1">Calc_Helper!Q20</f>
        <v>0</v>
      </c>
      <c r="AK20" s="2">
        <f ca="1">IF(Calc_Helper!Q20=TRUE(),1,0)</f>
        <v>0</v>
      </c>
      <c r="AL20" s="19" t="b">
        <f ca="1">Calc_Helper!R20</f>
        <v>0</v>
      </c>
      <c r="AM20" s="2">
        <f ca="1">IF(Calc_Helper!R20=TRUE(),1,0)</f>
        <v>0</v>
      </c>
      <c r="AN20" s="2" t="str">
        <f>IF(Calc_Helper!S20="","Unknown",Calc_Helper!S20)</f>
        <v>Over Budget</v>
      </c>
      <c r="AO20" s="2">
        <f>IF(OR(Calc_Helper!S20="Healthy",Calc_Helper!S20="On Track"),1,0)</f>
        <v>0</v>
      </c>
      <c r="AP20" s="19" t="b">
        <f>IFERROR(IF(Calc_Helper!T20="","",Calc_Helper!T20),"")</f>
        <v>0</v>
      </c>
      <c r="AQ20" s="2">
        <f>IF(Calc_Helper!T20=TRUE(),1,0)</f>
        <v>0</v>
      </c>
    </row>
    <row r="21" spans="1:43" x14ac:dyDescent="0.3">
      <c r="A21" s="5" t="str">
        <f>IF(Clean_Data!A21="","Unknown",Clean_Data!A21)</f>
        <v>TSK-0020</v>
      </c>
      <c r="B21" s="5" t="str">
        <f>IF(Clean_Data!B21="","Unknown",Clean_Data!B21)</f>
        <v>Product Launch</v>
      </c>
      <c r="C21" s="5" t="str">
        <f>IF(Clean_Data!C21="","Unknown",Clean_Data!C21)</f>
        <v>HR</v>
      </c>
      <c r="D21" s="5" t="str">
        <f>IF(Clean_Data!D21="","Unknown",Clean_Data!D21)</f>
        <v>Sneha Gupta</v>
      </c>
      <c r="E21" s="5" t="str">
        <f>IF(Clean_Data!E21="","Unknown",Clean_Data!E21)</f>
        <v>Manager</v>
      </c>
      <c r="F21" s="5" t="str">
        <f>IF(Clean_Data!F21="","Unknown",Clean_Data!F21)</f>
        <v>Medium</v>
      </c>
      <c r="G21" s="5" t="str">
        <f>IF(Clean_Data!G21="","Unknown",Clean_Data!G21)</f>
        <v>Testing</v>
      </c>
      <c r="H21" s="5" t="str">
        <f>IF(Clean_Data!K21="","Unknown",Clean_Data!K21)</f>
        <v>Not Started</v>
      </c>
      <c r="I21" s="13">
        <f>Clean_Data!H21</f>
        <v>45639</v>
      </c>
      <c r="J21" s="13">
        <f>Clean_Data!I21</f>
        <v>45685</v>
      </c>
      <c r="K21" s="13" t="str">
        <f>Clean_Data!J21</f>
        <v/>
      </c>
      <c r="L21" s="5" t="str">
        <f>IF(Calc_Helper!I21="","Unknown",Calc_Helper!I21)</f>
        <v>2025-01</v>
      </c>
      <c r="M21" s="5" t="str">
        <f>IF(Calc_Helper!J21="","Unknown",Calc_Helper!J21)</f>
        <v>2024-12</v>
      </c>
      <c r="N21" s="19" t="str">
        <f>IF(Calc_Helper!K21="","",Calc_Helper!K21)</f>
        <v/>
      </c>
      <c r="O21" s="5">
        <f>IFERROR(Calc_Helper!L21,"")</f>
        <v>2024</v>
      </c>
      <c r="P21" s="5">
        <f>IFERROR(Calc_Helper!M21,"")</f>
        <v>12</v>
      </c>
      <c r="Q21" s="5" t="str">
        <f>IF(Calc_Helper!N21="","Unknown",Calc_Helper!N21)</f>
        <v>December</v>
      </c>
      <c r="R21" s="17">
        <f>IFERROR(IF(ISNUMBER(Clean_Data!L21),Clean_Data!L21,0),0)</f>
        <v>0</v>
      </c>
      <c r="S21" s="18">
        <f>IFERROR(IF(ISNUMBER(Clean_Data!M21),Clean_Data!M21,0),0)</f>
        <v>28</v>
      </c>
      <c r="T21" s="16" t="str">
        <f>IF(Clean_Data!N21="","",IFERROR(IF(ISNUMBER(Clean_Data!N21),Clean_Data!N21,""),""))</f>
        <v/>
      </c>
      <c r="U21" s="18">
        <f>IFERROR(IF(ISNUMBER(Clean_Data!O21),Clean_Data!O21,0),0)</f>
        <v>0</v>
      </c>
      <c r="V21" s="5">
        <f ca="1">IFERROR(IF(ISNUMBER(Calc_Helper!E21),Calc_Helper!E21,0),0)</f>
        <v>487</v>
      </c>
      <c r="W21" s="5">
        <f ca="1">IFERROR(IF(ISNUMBER(Calc_Helper!F21),Calc_Helper!F21,0),0)</f>
        <v>441</v>
      </c>
      <c r="X21" s="5">
        <f>IFERROR(IF(ISNUMBER(Calc_Helper!G21),Calc_Helper!G21,0),0)</f>
        <v>0</v>
      </c>
      <c r="Y21" s="5">
        <f ca="1">IFERROR(IF(ISNUMBER(Calc_Helper!H21),Calc_Helper!H21,0),0)</f>
        <v>487</v>
      </c>
      <c r="Z21" s="20" t="b">
        <f>Calc_Helper!B21</f>
        <v>0</v>
      </c>
      <c r="AA21" s="5">
        <f>IF(Calc_Helper!B21=TRUE(),1,0)</f>
        <v>0</v>
      </c>
      <c r="AB21" s="20" t="b">
        <f>Calc_Helper!C21</f>
        <v>1</v>
      </c>
      <c r="AC21" s="5">
        <f>IF(Calc_Helper!C21=TRUE(),1,0)</f>
        <v>1</v>
      </c>
      <c r="AD21" s="20" t="b">
        <f ca="1">Calc_Helper!D21</f>
        <v>1</v>
      </c>
      <c r="AE21" s="5">
        <f ca="1">IF(Calc_Helper!D21=TRUE(),1,0)</f>
        <v>1</v>
      </c>
      <c r="AF21" s="20" t="b">
        <f ca="1">Calc_Helper!O21</f>
        <v>1</v>
      </c>
      <c r="AG21" s="5">
        <f ca="1">IF(Calc_Helper!O21=TRUE(),1,0)</f>
        <v>1</v>
      </c>
      <c r="AH21" s="20" t="b">
        <f>Calc_Helper!P21</f>
        <v>0</v>
      </c>
      <c r="AI21" s="5">
        <f>IF(Calc_Helper!P21=TRUE(),1,0)</f>
        <v>0</v>
      </c>
      <c r="AJ21" s="20" t="b">
        <f ca="1">Calc_Helper!Q21</f>
        <v>0</v>
      </c>
      <c r="AK21" s="5">
        <f ca="1">IF(Calc_Helper!Q21=TRUE(),1,0)</f>
        <v>0</v>
      </c>
      <c r="AL21" s="20" t="b">
        <f ca="1">Calc_Helper!R21</f>
        <v>0</v>
      </c>
      <c r="AM21" s="5">
        <f ca="1">IF(Calc_Helper!R21=TRUE(),1,0)</f>
        <v>0</v>
      </c>
      <c r="AN21" s="5" t="str">
        <f>IF(Calc_Helper!S21="","Unknown",Calc_Helper!S21)</f>
        <v>N/A</v>
      </c>
      <c r="AO21" s="5">
        <f>IF(OR(Calc_Helper!S21="Healthy",Calc_Helper!S21="On Track"),1,0)</f>
        <v>0</v>
      </c>
      <c r="AP21" s="5" t="str">
        <f>IFERROR(IF(Calc_Helper!T21="","",Calc_Helper!T21),"")</f>
        <v/>
      </c>
      <c r="AQ21" s="5">
        <f>IF(Calc_Helper!T21=TRUE(),1,0)</f>
        <v>0</v>
      </c>
    </row>
    <row r="22" spans="1:43" x14ac:dyDescent="0.3">
      <c r="A22" s="2" t="str">
        <f>IF(Clean_Data!A22="","Unknown",Clean_Data!A22)</f>
        <v>TSK-0021</v>
      </c>
      <c r="B22" s="2" t="str">
        <f>IF(Clean_Data!B22="","Unknown",Clean_Data!B22)</f>
        <v>Mobile App v2</v>
      </c>
      <c r="C22" s="2" t="str">
        <f>IF(Clean_Data!C22="","Unknown",Clean_Data!C22)</f>
        <v>Finance</v>
      </c>
      <c r="D22" s="2" t="str">
        <f>IF(Clean_Data!D22="","Unknown",Clean_Data!D22)</f>
        <v>Priya Patel</v>
      </c>
      <c r="E22" s="2" t="str">
        <f>IF(Clean_Data!E22="","Unknown",Clean_Data!E22)</f>
        <v>Manager</v>
      </c>
      <c r="F22" s="2" t="str">
        <f>IF(Clean_Data!F22="","Unknown",Clean_Data!F22)</f>
        <v>Low</v>
      </c>
      <c r="G22" s="2" t="str">
        <f>IF(Clean_Data!G22="","Unknown",Clean_Data!G22)</f>
        <v>Research</v>
      </c>
      <c r="H22" s="2" t="str">
        <f>IF(Clean_Data!K22="","Unknown",Clean_Data!K22)</f>
        <v>Completed</v>
      </c>
      <c r="I22" s="10">
        <f>Clean_Data!H22</f>
        <v>45363</v>
      </c>
      <c r="J22" s="10">
        <f>Clean_Data!I22</f>
        <v>45390</v>
      </c>
      <c r="K22" s="10">
        <f>Clean_Data!J22</f>
        <v>45387</v>
      </c>
      <c r="L22" s="2" t="str">
        <f>IF(Calc_Helper!I22="","Unknown",Calc_Helper!I22)</f>
        <v>2024-04</v>
      </c>
      <c r="M22" s="2" t="str">
        <f>IF(Calc_Helper!J22="","Unknown",Calc_Helper!J22)</f>
        <v>2024-03</v>
      </c>
      <c r="N22" s="19" t="str">
        <f>IF(Calc_Helper!K22="","",Calc_Helper!K22)</f>
        <v>2024-04</v>
      </c>
      <c r="O22" s="2">
        <f>IFERROR(Calc_Helper!L22,"")</f>
        <v>2024</v>
      </c>
      <c r="P22" s="2">
        <f>IFERROR(Calc_Helper!M22,"")</f>
        <v>3</v>
      </c>
      <c r="Q22" s="2" t="str">
        <f>IF(Calc_Helper!N22="","Unknown",Calc_Helper!N22)</f>
        <v>March</v>
      </c>
      <c r="R22" s="15">
        <f>IFERROR(IF(ISNUMBER(Clean_Data!L22),Clean_Data!L22,0),0)</f>
        <v>1</v>
      </c>
      <c r="S22" s="16">
        <f>IFERROR(IF(ISNUMBER(Clean_Data!M22),Clean_Data!M22,0),0)</f>
        <v>25.7</v>
      </c>
      <c r="T22" s="16">
        <f>IF(Clean_Data!N22="","",IFERROR(IF(ISNUMBER(Clean_Data!N22),Clean_Data!N22,""),""))</f>
        <v>28.2</v>
      </c>
      <c r="U22" s="16">
        <f>IFERROR(IF(ISNUMBER(Clean_Data!O22),Clean_Data!O22,0),0)</f>
        <v>2.5</v>
      </c>
      <c r="V22" s="2">
        <f ca="1">IFERROR(IF(ISNUMBER(Calc_Helper!E22),Calc_Helper!E22,0),0)</f>
        <v>0</v>
      </c>
      <c r="W22" s="2">
        <f ca="1">IFERROR(IF(ISNUMBER(Calc_Helper!F22),Calc_Helper!F22,0),0)</f>
        <v>0</v>
      </c>
      <c r="X22" s="2">
        <f>IFERROR(IF(ISNUMBER(Calc_Helper!G22),Calc_Helper!G22,0),0)</f>
        <v>24</v>
      </c>
      <c r="Y22" s="2">
        <f ca="1">IFERROR(IF(ISNUMBER(Calc_Helper!H22),Calc_Helper!H22,0),0)</f>
        <v>24</v>
      </c>
      <c r="Z22" s="19" t="b">
        <f>Calc_Helper!B22</f>
        <v>1</v>
      </c>
      <c r="AA22" s="2">
        <f>IF(Calc_Helper!B22=TRUE(),1,0)</f>
        <v>1</v>
      </c>
      <c r="AB22" s="19" t="b">
        <f>Calc_Helper!C22</f>
        <v>0</v>
      </c>
      <c r="AC22" s="2">
        <f>IF(Calc_Helper!C22=TRUE(),1,0)</f>
        <v>0</v>
      </c>
      <c r="AD22" s="19" t="b">
        <f ca="1">Calc_Helper!D22</f>
        <v>0</v>
      </c>
      <c r="AE22" s="2">
        <f ca="1">IF(Calc_Helper!D22=TRUE(),1,0)</f>
        <v>0</v>
      </c>
      <c r="AF22" s="19" t="b">
        <f ca="1">Calc_Helper!O22</f>
        <v>0</v>
      </c>
      <c r="AG22" s="2">
        <f ca="1">IF(Calc_Helper!O22=TRUE(),1,0)</f>
        <v>0</v>
      </c>
      <c r="AH22" s="19" t="b">
        <f>Calc_Helper!P22</f>
        <v>0</v>
      </c>
      <c r="AI22" s="2">
        <f>IF(Calc_Helper!P22=TRUE(),1,0)</f>
        <v>0</v>
      </c>
      <c r="AJ22" s="19" t="b">
        <f ca="1">Calc_Helper!Q22</f>
        <v>0</v>
      </c>
      <c r="AK22" s="2">
        <f ca="1">IF(Calc_Helper!Q22=TRUE(),1,0)</f>
        <v>0</v>
      </c>
      <c r="AL22" s="19" t="b">
        <f ca="1">Calc_Helper!R22</f>
        <v>0</v>
      </c>
      <c r="AM22" s="2">
        <f ca="1">IF(Calc_Helper!R22=TRUE(),1,0)</f>
        <v>0</v>
      </c>
      <c r="AN22" s="2" t="str">
        <f>IF(Calc_Helper!S22="","Unknown",Calc_Helper!S22)</f>
        <v>Healthy</v>
      </c>
      <c r="AO22" s="2">
        <f>IF(OR(Calc_Helper!S22="Healthy",Calc_Helper!S22="On Track"),1,0)</f>
        <v>1</v>
      </c>
      <c r="AP22" s="19" t="b">
        <f>IFERROR(IF(Calc_Helper!T22="","",Calc_Helper!T22),"")</f>
        <v>1</v>
      </c>
      <c r="AQ22" s="2">
        <f>IF(Calc_Helper!T22=TRUE(),1,0)</f>
        <v>1</v>
      </c>
    </row>
    <row r="23" spans="1:43" x14ac:dyDescent="0.3">
      <c r="A23" s="5" t="str">
        <f>IF(Clean_Data!A23="","Unknown",Clean_Data!A23)</f>
        <v>TSK-0022</v>
      </c>
      <c r="B23" s="5" t="str">
        <f>IF(Clean_Data!B23="","Unknown",Clean_Data!B23)</f>
        <v>Supply Chain Optimization</v>
      </c>
      <c r="C23" s="5" t="str">
        <f>IF(Clean_Data!C23="","Unknown",Clean_Data!C23)</f>
        <v>IT</v>
      </c>
      <c r="D23" s="5" t="str">
        <f>IF(Clean_Data!D23="","Unknown",Clean_Data!D23)</f>
        <v>Rohan Iyer</v>
      </c>
      <c r="E23" s="5" t="str">
        <f>IF(Clean_Data!E23="","Unknown",Clean_Data!E23)</f>
        <v>Designer</v>
      </c>
      <c r="F23" s="5" t="str">
        <f>IF(Clean_Data!F23="","Unknown",Clean_Data!F23)</f>
        <v>Critical</v>
      </c>
      <c r="G23" s="5" t="str">
        <f>IF(Clean_Data!G23="","Unknown",Clean_Data!G23)</f>
        <v>Testing</v>
      </c>
      <c r="H23" s="5" t="str">
        <f>IF(Clean_Data!K23="","Unknown",Clean_Data!K23)</f>
        <v>Completed</v>
      </c>
      <c r="I23" s="13">
        <f>Clean_Data!H23</f>
        <v>45364</v>
      </c>
      <c r="J23" s="13">
        <f>Clean_Data!I23</f>
        <v>45385</v>
      </c>
      <c r="K23" s="13">
        <f>Clean_Data!J23</f>
        <v>45378</v>
      </c>
      <c r="L23" s="5" t="str">
        <f>IF(Calc_Helper!I23="","Unknown",Calc_Helper!I23)</f>
        <v>2024-04</v>
      </c>
      <c r="M23" s="5" t="str">
        <f>IF(Calc_Helper!J23="","Unknown",Calc_Helper!J23)</f>
        <v>2024-03</v>
      </c>
      <c r="N23" s="19" t="str">
        <f>IF(Calc_Helper!K23="","",Calc_Helper!K23)</f>
        <v>2024-03</v>
      </c>
      <c r="O23" s="5">
        <f>IFERROR(Calc_Helper!L23,"")</f>
        <v>2024</v>
      </c>
      <c r="P23" s="5">
        <f>IFERROR(Calc_Helper!M23,"")</f>
        <v>3</v>
      </c>
      <c r="Q23" s="5" t="str">
        <f>IF(Calc_Helper!N23="","Unknown",Calc_Helper!N23)</f>
        <v>March</v>
      </c>
      <c r="R23" s="17">
        <f>IFERROR(IF(ISNUMBER(Clean_Data!L23),Clean_Data!L23,0),0)</f>
        <v>1</v>
      </c>
      <c r="S23" s="18">
        <f>IFERROR(IF(ISNUMBER(Clean_Data!M23),Clean_Data!M23,0),0)</f>
        <v>15.8</v>
      </c>
      <c r="T23" s="16">
        <f>IF(Clean_Data!N23="","",IFERROR(IF(ISNUMBER(Clean_Data!N23),Clean_Data!N23,""),""))</f>
        <v>12.1</v>
      </c>
      <c r="U23" s="18">
        <f>IFERROR(IF(ISNUMBER(Clean_Data!O23),Clean_Data!O23,0),0)</f>
        <v>-3.7000000000000011</v>
      </c>
      <c r="V23" s="5">
        <f ca="1">IFERROR(IF(ISNUMBER(Calc_Helper!E23),Calc_Helper!E23,0),0)</f>
        <v>0</v>
      </c>
      <c r="W23" s="5">
        <f ca="1">IFERROR(IF(ISNUMBER(Calc_Helper!F23),Calc_Helper!F23,0),0)</f>
        <v>0</v>
      </c>
      <c r="X23" s="5">
        <f>IFERROR(IF(ISNUMBER(Calc_Helper!G23),Calc_Helper!G23,0),0)</f>
        <v>14</v>
      </c>
      <c r="Y23" s="5">
        <f ca="1">IFERROR(IF(ISNUMBER(Calc_Helper!H23),Calc_Helper!H23,0),0)</f>
        <v>14</v>
      </c>
      <c r="Z23" s="20" t="b">
        <f>Calc_Helper!B23</f>
        <v>1</v>
      </c>
      <c r="AA23" s="5">
        <f>IF(Calc_Helper!B23=TRUE(),1,0)</f>
        <v>1</v>
      </c>
      <c r="AB23" s="20" t="b">
        <f>Calc_Helper!C23</f>
        <v>0</v>
      </c>
      <c r="AC23" s="5">
        <f>IF(Calc_Helper!C23=TRUE(),1,0)</f>
        <v>0</v>
      </c>
      <c r="AD23" s="20" t="b">
        <f ca="1">Calc_Helper!D23</f>
        <v>0</v>
      </c>
      <c r="AE23" s="5">
        <f ca="1">IF(Calc_Helper!D23=TRUE(),1,0)</f>
        <v>0</v>
      </c>
      <c r="AF23" s="20" t="b">
        <f ca="1">Calc_Helper!O23</f>
        <v>0</v>
      </c>
      <c r="AG23" s="5">
        <f ca="1">IF(Calc_Helper!O23=TRUE(),1,0)</f>
        <v>0</v>
      </c>
      <c r="AH23" s="20" t="b">
        <f>Calc_Helper!P23</f>
        <v>0</v>
      </c>
      <c r="AI23" s="5">
        <f>IF(Calc_Helper!P23=TRUE(),1,0)</f>
        <v>0</v>
      </c>
      <c r="AJ23" s="20" t="b">
        <f ca="1">Calc_Helper!Q23</f>
        <v>0</v>
      </c>
      <c r="AK23" s="5">
        <f ca="1">IF(Calc_Helper!Q23=TRUE(),1,0)</f>
        <v>0</v>
      </c>
      <c r="AL23" s="20" t="b">
        <f ca="1">Calc_Helper!R23</f>
        <v>0</v>
      </c>
      <c r="AM23" s="5">
        <f ca="1">IF(Calc_Helper!R23=TRUE(),1,0)</f>
        <v>0</v>
      </c>
      <c r="AN23" s="5" t="str">
        <f>IF(Calc_Helper!S23="","Unknown",Calc_Helper!S23)</f>
        <v>Healthy</v>
      </c>
      <c r="AO23" s="5">
        <f>IF(OR(Calc_Helper!S23="Healthy",Calc_Helper!S23="On Track"),1,0)</f>
        <v>1</v>
      </c>
      <c r="AP23" s="20" t="b">
        <f>IFERROR(IF(Calc_Helper!T23="","",Calc_Helper!T23),"")</f>
        <v>1</v>
      </c>
      <c r="AQ23" s="5">
        <f>IF(Calc_Helper!T23=TRUE(),1,0)</f>
        <v>1</v>
      </c>
    </row>
    <row r="24" spans="1:43" x14ac:dyDescent="0.3">
      <c r="A24" s="2" t="str">
        <f>IF(Clean_Data!A24="","Unknown",Clean_Data!A24)</f>
        <v>TSK-0023</v>
      </c>
      <c r="B24" s="2" t="str">
        <f>IF(Clean_Data!B24="","Unknown",Clean_Data!B24)</f>
        <v>Employee Onboarding</v>
      </c>
      <c r="C24" s="2" t="str">
        <f>IF(Clean_Data!C24="","Unknown",Clean_Data!C24)</f>
        <v>Sales</v>
      </c>
      <c r="D24" s="2" t="str">
        <f>IF(Clean_Data!D24="","Unknown",Clean_Data!D24)</f>
        <v>Kavita Rao</v>
      </c>
      <c r="E24" s="2" t="str">
        <f>IF(Clean_Data!E24="","Unknown",Clean_Data!E24)</f>
        <v>Manager</v>
      </c>
      <c r="F24" s="2" t="str">
        <f>IF(Clean_Data!F24="","Unknown",Clean_Data!F24)</f>
        <v>Critical</v>
      </c>
      <c r="G24" s="2" t="str">
        <f>IF(Clean_Data!G24="","Unknown",Clean_Data!G24)</f>
        <v>Development</v>
      </c>
      <c r="H24" s="2" t="str">
        <f>IF(Clean_Data!K24="","Unknown",Clean_Data!K24)</f>
        <v>On Hold</v>
      </c>
      <c r="I24" s="10">
        <f>Clean_Data!H24</f>
        <v>45343</v>
      </c>
      <c r="J24" s="10">
        <f>Clean_Data!I24</f>
        <v>45388</v>
      </c>
      <c r="K24" s="10" t="str">
        <f>Clean_Data!J24</f>
        <v/>
      </c>
      <c r="L24" s="2" t="str">
        <f>IF(Calc_Helper!I24="","Unknown",Calc_Helper!I24)</f>
        <v>2024-04</v>
      </c>
      <c r="M24" s="2" t="str">
        <f>IF(Calc_Helper!J24="","Unknown",Calc_Helper!J24)</f>
        <v>2024-02</v>
      </c>
      <c r="N24" s="19" t="str">
        <f>IF(Calc_Helper!K24="","",Calc_Helper!K24)</f>
        <v/>
      </c>
      <c r="O24" s="2">
        <f>IFERROR(Calc_Helper!L24,"")</f>
        <v>2024</v>
      </c>
      <c r="P24" s="2">
        <f>IFERROR(Calc_Helper!M24,"")</f>
        <v>2</v>
      </c>
      <c r="Q24" s="2" t="str">
        <f>IF(Calc_Helper!N24="","Unknown",Calc_Helper!N24)</f>
        <v>February</v>
      </c>
      <c r="R24" s="15">
        <f>IFERROR(IF(ISNUMBER(Clean_Data!L24),Clean_Data!L24,0),0)</f>
        <v>0.22</v>
      </c>
      <c r="S24" s="16">
        <f>IFERROR(IF(ISNUMBER(Clean_Data!M24),Clean_Data!M24,0),0)</f>
        <v>4.3</v>
      </c>
      <c r="T24" s="16" t="str">
        <f>IF(Clean_Data!N24="","",IFERROR(IF(ISNUMBER(Clean_Data!N24),Clean_Data!N24,""),""))</f>
        <v/>
      </c>
      <c r="U24" s="16">
        <f>IFERROR(IF(ISNUMBER(Clean_Data!O24),Clean_Data!O24,0),0)</f>
        <v>0</v>
      </c>
      <c r="V24" s="2">
        <f ca="1">IFERROR(IF(ISNUMBER(Calc_Helper!E24),Calc_Helper!E24,0),0)</f>
        <v>783</v>
      </c>
      <c r="W24" s="2">
        <f ca="1">IFERROR(IF(ISNUMBER(Calc_Helper!F24),Calc_Helper!F24,0),0)</f>
        <v>738</v>
      </c>
      <c r="X24" s="2">
        <f>IFERROR(IF(ISNUMBER(Calc_Helper!G24),Calc_Helper!G24,0),0)</f>
        <v>0</v>
      </c>
      <c r="Y24" s="2">
        <f ca="1">IFERROR(IF(ISNUMBER(Calc_Helper!H24),Calc_Helper!H24,0),0)</f>
        <v>783</v>
      </c>
      <c r="Z24" s="19" t="b">
        <f>Calc_Helper!B24</f>
        <v>0</v>
      </c>
      <c r="AA24" s="2">
        <f>IF(Calc_Helper!B24=TRUE(),1,0)</f>
        <v>0</v>
      </c>
      <c r="AB24" s="19" t="b">
        <f>Calc_Helper!C24</f>
        <v>1</v>
      </c>
      <c r="AC24" s="2">
        <f>IF(Calc_Helper!C24=TRUE(),1,0)</f>
        <v>1</v>
      </c>
      <c r="AD24" s="19" t="b">
        <f ca="1">Calc_Helper!D24</f>
        <v>1</v>
      </c>
      <c r="AE24" s="2">
        <f ca="1">IF(Calc_Helper!D24=TRUE(),1,0)</f>
        <v>1</v>
      </c>
      <c r="AF24" s="19" t="b">
        <f ca="1">Calc_Helper!O24</f>
        <v>1</v>
      </c>
      <c r="AG24" s="2">
        <f ca="1">IF(Calc_Helper!O24=TRUE(),1,0)</f>
        <v>1</v>
      </c>
      <c r="AH24" s="19" t="b">
        <f>Calc_Helper!P24</f>
        <v>1</v>
      </c>
      <c r="AI24" s="2">
        <f>IF(Calc_Helper!P24=TRUE(),1,0)</f>
        <v>1</v>
      </c>
      <c r="AJ24" s="19" t="b">
        <f ca="1">Calc_Helper!Q24</f>
        <v>1</v>
      </c>
      <c r="AK24" s="2">
        <f ca="1">IF(Calc_Helper!Q24=TRUE(),1,0)</f>
        <v>1</v>
      </c>
      <c r="AL24" s="19" t="b">
        <f ca="1">Calc_Helper!R24</f>
        <v>0</v>
      </c>
      <c r="AM24" s="2">
        <f ca="1">IF(Calc_Helper!R24=TRUE(),1,0)</f>
        <v>0</v>
      </c>
      <c r="AN24" s="2" t="str">
        <f>IF(Calc_Helper!S24="","Unknown",Calc_Helper!S24)</f>
        <v>N/A</v>
      </c>
      <c r="AO24" s="2">
        <f>IF(OR(Calc_Helper!S24="Healthy",Calc_Helper!S24="On Track"),1,0)</f>
        <v>0</v>
      </c>
      <c r="AP24" s="2" t="str">
        <f>IFERROR(IF(Calc_Helper!T24="","",Calc_Helper!T24),"")</f>
        <v/>
      </c>
      <c r="AQ24" s="2">
        <f>IF(Calc_Helper!T24=TRUE(),1,0)</f>
        <v>0</v>
      </c>
    </row>
    <row r="25" spans="1:43" x14ac:dyDescent="0.3">
      <c r="A25" s="5" t="str">
        <f>IF(Clean_Data!A25="","Unknown",Clean_Data!A25)</f>
        <v>TSK-0024</v>
      </c>
      <c r="B25" s="5" t="str">
        <f>IF(Clean_Data!B25="","Unknown",Clean_Data!B25)</f>
        <v>Annual Audit</v>
      </c>
      <c r="C25" s="5" t="str">
        <f>IF(Clean_Data!C25="","Unknown",Clean_Data!C25)</f>
        <v>Sales</v>
      </c>
      <c r="D25" s="5" t="str">
        <f>IF(Clean_Data!D25="","Unknown",Clean_Data!D25)</f>
        <v>Deepak Nair</v>
      </c>
      <c r="E25" s="5" t="str">
        <f>IF(Clean_Data!E25="","Unknown",Clean_Data!E25)</f>
        <v>Coordinator</v>
      </c>
      <c r="F25" s="5" t="str">
        <f>IF(Clean_Data!F25="","Unknown",Clean_Data!F25)</f>
        <v>Low</v>
      </c>
      <c r="G25" s="5" t="str">
        <f>IF(Clean_Data!G25="","Unknown",Clean_Data!G25)</f>
        <v>Development</v>
      </c>
      <c r="H25" s="5" t="str">
        <f>IF(Clean_Data!K25="","Unknown",Clean_Data!K25)</f>
        <v>In Progress</v>
      </c>
      <c r="I25" s="13">
        <f>Clean_Data!H25</f>
        <v>45353</v>
      </c>
      <c r="J25" s="13">
        <f>Clean_Data!I25</f>
        <v>45362</v>
      </c>
      <c r="K25" s="13" t="str">
        <f>Clean_Data!J25</f>
        <v/>
      </c>
      <c r="L25" s="5" t="str">
        <f>IF(Calc_Helper!I25="","Unknown",Calc_Helper!I25)</f>
        <v>2024-03</v>
      </c>
      <c r="M25" s="5" t="str">
        <f>IF(Calc_Helper!J25="","Unknown",Calc_Helper!J25)</f>
        <v>2024-03</v>
      </c>
      <c r="N25" s="19" t="str">
        <f>IF(Calc_Helper!K25="","",Calc_Helper!K25)</f>
        <v/>
      </c>
      <c r="O25" s="5">
        <f>IFERROR(Calc_Helper!L25,"")</f>
        <v>2024</v>
      </c>
      <c r="P25" s="5">
        <f>IFERROR(Calc_Helper!M25,"")</f>
        <v>3</v>
      </c>
      <c r="Q25" s="5" t="str">
        <f>IF(Calc_Helper!N25="","Unknown",Calc_Helper!N25)</f>
        <v>March</v>
      </c>
      <c r="R25" s="17">
        <f>IFERROR(IF(ISNUMBER(Clean_Data!L25),Clean_Data!L25,0),0)</f>
        <v>0.22</v>
      </c>
      <c r="S25" s="18">
        <f>IFERROR(IF(ISNUMBER(Clean_Data!M25),Clean_Data!M25,0),0)</f>
        <v>36.700000000000003</v>
      </c>
      <c r="T25" s="16" t="str">
        <f>IF(Clean_Data!N25="","",IFERROR(IF(ISNUMBER(Clean_Data!N25),Clean_Data!N25,""),""))</f>
        <v/>
      </c>
      <c r="U25" s="18">
        <f>IFERROR(IF(ISNUMBER(Clean_Data!O25),Clean_Data!O25,0),0)</f>
        <v>0</v>
      </c>
      <c r="V25" s="5">
        <f ca="1">IFERROR(IF(ISNUMBER(Calc_Helper!E25),Calc_Helper!E25,0),0)</f>
        <v>773</v>
      </c>
      <c r="W25" s="5">
        <f ca="1">IFERROR(IF(ISNUMBER(Calc_Helper!F25),Calc_Helper!F25,0),0)</f>
        <v>764</v>
      </c>
      <c r="X25" s="5">
        <f>IFERROR(IF(ISNUMBER(Calc_Helper!G25),Calc_Helper!G25,0),0)</f>
        <v>0</v>
      </c>
      <c r="Y25" s="5">
        <f ca="1">IFERROR(IF(ISNUMBER(Calc_Helper!H25),Calc_Helper!H25,0),0)</f>
        <v>773</v>
      </c>
      <c r="Z25" s="20" t="b">
        <f>Calc_Helper!B25</f>
        <v>0</v>
      </c>
      <c r="AA25" s="5">
        <f>IF(Calc_Helper!B25=TRUE(),1,0)</f>
        <v>0</v>
      </c>
      <c r="AB25" s="20" t="b">
        <f>Calc_Helper!C25</f>
        <v>1</v>
      </c>
      <c r="AC25" s="5">
        <f>IF(Calc_Helper!C25=TRUE(),1,0)</f>
        <v>1</v>
      </c>
      <c r="AD25" s="20" t="b">
        <f ca="1">Calc_Helper!D25</f>
        <v>1</v>
      </c>
      <c r="AE25" s="5">
        <f ca="1">IF(Calc_Helper!D25=TRUE(),1,0)</f>
        <v>1</v>
      </c>
      <c r="AF25" s="20" t="b">
        <f ca="1">Calc_Helper!O25</f>
        <v>1</v>
      </c>
      <c r="AG25" s="5">
        <f ca="1">IF(Calc_Helper!O25=TRUE(),1,0)</f>
        <v>1</v>
      </c>
      <c r="AH25" s="20" t="b">
        <f>Calc_Helper!P25</f>
        <v>0</v>
      </c>
      <c r="AI25" s="5">
        <f>IF(Calc_Helper!P25=TRUE(),1,0)</f>
        <v>0</v>
      </c>
      <c r="AJ25" s="20" t="b">
        <f ca="1">Calc_Helper!Q25</f>
        <v>0</v>
      </c>
      <c r="AK25" s="5">
        <f ca="1">IF(Calc_Helper!Q25=TRUE(),1,0)</f>
        <v>0</v>
      </c>
      <c r="AL25" s="20" t="b">
        <f ca="1">Calc_Helper!R25</f>
        <v>1</v>
      </c>
      <c r="AM25" s="5">
        <f ca="1">IF(Calc_Helper!R25=TRUE(),1,0)</f>
        <v>1</v>
      </c>
      <c r="AN25" s="5" t="str">
        <f>IF(Calc_Helper!S25="","Unknown",Calc_Helper!S25)</f>
        <v>Slow</v>
      </c>
      <c r="AO25" s="5">
        <f>IF(OR(Calc_Helper!S25="Healthy",Calc_Helper!S25="On Track"),1,0)</f>
        <v>0</v>
      </c>
      <c r="AP25" s="5" t="str">
        <f>IFERROR(IF(Calc_Helper!T25="","",Calc_Helper!T25),"")</f>
        <v/>
      </c>
      <c r="AQ25" s="5">
        <f>IF(Calc_Helper!T25=TRUE(),1,0)</f>
        <v>0</v>
      </c>
    </row>
    <row r="26" spans="1:43" x14ac:dyDescent="0.3">
      <c r="A26" s="2" t="str">
        <f>IF(Clean_Data!A26="","Unknown",Clean_Data!A26)</f>
        <v>TSK-0025</v>
      </c>
      <c r="B26" s="2" t="str">
        <f>IF(Clean_Data!B26="","Unknown",Clean_Data!B26)</f>
        <v>IT Infrastructure</v>
      </c>
      <c r="C26" s="2" t="str">
        <f>IF(Clean_Data!C26="","Unknown",Clean_Data!C26)</f>
        <v>Marketing</v>
      </c>
      <c r="D26" s="2" t="str">
        <f>IF(Clean_Data!D26="","Unknown",Clean_Data!D26)</f>
        <v>Rohan Iyer</v>
      </c>
      <c r="E26" s="2" t="str">
        <f>IF(Clean_Data!E26="","Unknown",Clean_Data!E26)</f>
        <v>Manager</v>
      </c>
      <c r="F26" s="2" t="str">
        <f>IF(Clean_Data!F26="","Unknown",Clean_Data!F26)</f>
        <v>Low</v>
      </c>
      <c r="G26" s="2" t="str">
        <f>IF(Clean_Data!G26="","Unknown",Clean_Data!G26)</f>
        <v>Testing</v>
      </c>
      <c r="H26" s="2" t="str">
        <f>IF(Clean_Data!K26="","Unknown",Clean_Data!K26)</f>
        <v>On Hold</v>
      </c>
      <c r="I26" s="10">
        <f>Clean_Data!H26</f>
        <v>45477</v>
      </c>
      <c r="J26" s="10">
        <f>Clean_Data!I26</f>
        <v>45531</v>
      </c>
      <c r="K26" s="10" t="str">
        <f>Clean_Data!J26</f>
        <v/>
      </c>
      <c r="L26" s="2" t="str">
        <f>IF(Calc_Helper!I26="","Unknown",Calc_Helper!I26)</f>
        <v>2024-08</v>
      </c>
      <c r="M26" s="2" t="str">
        <f>IF(Calc_Helper!J26="","Unknown",Calc_Helper!J26)</f>
        <v>2024-07</v>
      </c>
      <c r="N26" s="19" t="str">
        <f>IF(Calc_Helper!K26="","",Calc_Helper!K26)</f>
        <v/>
      </c>
      <c r="O26" s="2">
        <f>IFERROR(Calc_Helper!L26,"")</f>
        <v>2024</v>
      </c>
      <c r="P26" s="2">
        <f>IFERROR(Calc_Helper!M26,"")</f>
        <v>7</v>
      </c>
      <c r="Q26" s="2" t="str">
        <f>IF(Calc_Helper!N26="","Unknown",Calc_Helper!N26)</f>
        <v>July</v>
      </c>
      <c r="R26" s="15">
        <f>IFERROR(IF(ISNUMBER(Clean_Data!L26),Clean_Data!L26,0),0)</f>
        <v>0.14000000000000001</v>
      </c>
      <c r="S26" s="16">
        <f>IFERROR(IF(ISNUMBER(Clean_Data!M26),Clean_Data!M26,0),0)</f>
        <v>69.7</v>
      </c>
      <c r="T26" s="16" t="str">
        <f>IF(Clean_Data!N26="","",IFERROR(IF(ISNUMBER(Clean_Data!N26),Clean_Data!N26,""),""))</f>
        <v/>
      </c>
      <c r="U26" s="16">
        <f>IFERROR(IF(ISNUMBER(Clean_Data!O26),Clean_Data!O26,0),0)</f>
        <v>0</v>
      </c>
      <c r="V26" s="2">
        <f ca="1">IFERROR(IF(ISNUMBER(Calc_Helper!E26),Calc_Helper!E26,0),0)</f>
        <v>649</v>
      </c>
      <c r="W26" s="2">
        <f ca="1">IFERROR(IF(ISNUMBER(Calc_Helper!F26),Calc_Helper!F26,0),0)</f>
        <v>595</v>
      </c>
      <c r="X26" s="2">
        <f>IFERROR(IF(ISNUMBER(Calc_Helper!G26),Calc_Helper!G26,0),0)</f>
        <v>0</v>
      </c>
      <c r="Y26" s="2">
        <f ca="1">IFERROR(IF(ISNUMBER(Calc_Helper!H26),Calc_Helper!H26,0),0)</f>
        <v>649</v>
      </c>
      <c r="Z26" s="19" t="b">
        <f>Calc_Helper!B26</f>
        <v>0</v>
      </c>
      <c r="AA26" s="2">
        <f>IF(Calc_Helper!B26=TRUE(),1,0)</f>
        <v>0</v>
      </c>
      <c r="AB26" s="19" t="b">
        <f>Calc_Helper!C26</f>
        <v>1</v>
      </c>
      <c r="AC26" s="2">
        <f>IF(Calc_Helper!C26=TRUE(),1,0)</f>
        <v>1</v>
      </c>
      <c r="AD26" s="19" t="b">
        <f ca="1">Calc_Helper!D26</f>
        <v>1</v>
      </c>
      <c r="AE26" s="2">
        <f ca="1">IF(Calc_Helper!D26=TRUE(),1,0)</f>
        <v>1</v>
      </c>
      <c r="AF26" s="19" t="b">
        <f ca="1">Calc_Helper!O26</f>
        <v>1</v>
      </c>
      <c r="AG26" s="2">
        <f ca="1">IF(Calc_Helper!O26=TRUE(),1,0)</f>
        <v>1</v>
      </c>
      <c r="AH26" s="19" t="b">
        <f>Calc_Helper!P26</f>
        <v>0</v>
      </c>
      <c r="AI26" s="2">
        <f>IF(Calc_Helper!P26=TRUE(),1,0)</f>
        <v>0</v>
      </c>
      <c r="AJ26" s="19" t="b">
        <f ca="1">Calc_Helper!Q26</f>
        <v>0</v>
      </c>
      <c r="AK26" s="2">
        <f ca="1">IF(Calc_Helper!Q26=TRUE(),1,0)</f>
        <v>0</v>
      </c>
      <c r="AL26" s="19" t="b">
        <f ca="1">Calc_Helper!R26</f>
        <v>0</v>
      </c>
      <c r="AM26" s="2">
        <f ca="1">IF(Calc_Helper!R26=TRUE(),1,0)</f>
        <v>0</v>
      </c>
      <c r="AN26" s="2" t="str">
        <f>IF(Calc_Helper!S26="","Unknown",Calc_Helper!S26)</f>
        <v>N/A</v>
      </c>
      <c r="AO26" s="2">
        <f>IF(OR(Calc_Helper!S26="Healthy",Calc_Helper!S26="On Track"),1,0)</f>
        <v>0</v>
      </c>
      <c r="AP26" s="2" t="str">
        <f>IFERROR(IF(Calc_Helper!T26="","",Calc_Helper!T26),"")</f>
        <v/>
      </c>
      <c r="AQ26" s="2">
        <f>IF(Calc_Helper!T26=TRUE(),1,0)</f>
        <v>0</v>
      </c>
    </row>
    <row r="27" spans="1:43" x14ac:dyDescent="0.3">
      <c r="A27" s="5" t="str">
        <f>IF(Clean_Data!A27="","Unknown",Clean_Data!A27)</f>
        <v>TSK-0026</v>
      </c>
      <c r="B27" s="5" t="str">
        <f>IF(Clean_Data!B27="","Unknown",Clean_Data!B27)</f>
        <v>Annual Audit</v>
      </c>
      <c r="C27" s="5" t="str">
        <f>IF(Clean_Data!C27="","Unknown",Clean_Data!C27)</f>
        <v>HR</v>
      </c>
      <c r="D27" s="5" t="str">
        <f>IF(Clean_Data!D27="","Unknown",Clean_Data!D27)</f>
        <v>Sanjay Kulkarni</v>
      </c>
      <c r="E27" s="5" t="str">
        <f>IF(Clean_Data!E27="","Unknown",Clean_Data!E27)</f>
        <v>Coordinator</v>
      </c>
      <c r="F27" s="5" t="str">
        <f>IF(Clean_Data!F27="","Unknown",Clean_Data!F27)</f>
        <v>Critical</v>
      </c>
      <c r="G27" s="5" t="str">
        <f>IF(Clean_Data!G27="","Unknown",Clean_Data!G27)</f>
        <v>Research</v>
      </c>
      <c r="H27" s="5" t="str">
        <f>IF(Clean_Data!K27="","Unknown",Clean_Data!K27)</f>
        <v>Completed</v>
      </c>
      <c r="I27" s="13">
        <f>Clean_Data!H27</f>
        <v>45432</v>
      </c>
      <c r="J27" s="13">
        <f>Clean_Data!I27</f>
        <v>45447</v>
      </c>
      <c r="K27" s="13">
        <f>Clean_Data!J27</f>
        <v>45449</v>
      </c>
      <c r="L27" s="5" t="str">
        <f>IF(Calc_Helper!I27="","Unknown",Calc_Helper!I27)</f>
        <v>2024-06</v>
      </c>
      <c r="M27" s="5" t="str">
        <f>IF(Calc_Helper!J27="","Unknown",Calc_Helper!J27)</f>
        <v>2024-05</v>
      </c>
      <c r="N27" s="19" t="str">
        <f>IF(Calc_Helper!K27="","",Calc_Helper!K27)</f>
        <v>2024-06</v>
      </c>
      <c r="O27" s="5">
        <f>IFERROR(Calc_Helper!L27,"")</f>
        <v>2024</v>
      </c>
      <c r="P27" s="5">
        <f>IFERROR(Calc_Helper!M27,"")</f>
        <v>5</v>
      </c>
      <c r="Q27" s="5" t="str">
        <f>IF(Calc_Helper!N27="","Unknown",Calc_Helper!N27)</f>
        <v>May</v>
      </c>
      <c r="R27" s="17">
        <f>IFERROR(IF(ISNUMBER(Clean_Data!L27),Clean_Data!L27,0),0)</f>
        <v>1</v>
      </c>
      <c r="S27" s="18">
        <f>IFERROR(IF(ISNUMBER(Clean_Data!M27),Clean_Data!M27,0),0)</f>
        <v>69.3</v>
      </c>
      <c r="T27" s="16">
        <f>IF(Clean_Data!N27="","",IFERROR(IF(ISNUMBER(Clean_Data!N27),Clean_Data!N27,""),""))</f>
        <v>63.2</v>
      </c>
      <c r="U27" s="18">
        <f>IFERROR(IF(ISNUMBER(Clean_Data!O27),Clean_Data!O27,0),0)</f>
        <v>-6.0999999999999943</v>
      </c>
      <c r="V27" s="5">
        <f ca="1">IFERROR(IF(ISNUMBER(Calc_Helper!E27),Calc_Helper!E27,0),0)</f>
        <v>0</v>
      </c>
      <c r="W27" s="5">
        <f ca="1">IFERROR(IF(ISNUMBER(Calc_Helper!F27),Calc_Helper!F27,0),0)</f>
        <v>2</v>
      </c>
      <c r="X27" s="5">
        <f>IFERROR(IF(ISNUMBER(Calc_Helper!G27),Calc_Helper!G27,0),0)</f>
        <v>17</v>
      </c>
      <c r="Y27" s="5">
        <f ca="1">IFERROR(IF(ISNUMBER(Calc_Helper!H27),Calc_Helper!H27,0),0)</f>
        <v>17</v>
      </c>
      <c r="Z27" s="20" t="b">
        <f>Calc_Helper!B27</f>
        <v>1</v>
      </c>
      <c r="AA27" s="5">
        <f>IF(Calc_Helper!B27=TRUE(),1,0)</f>
        <v>1</v>
      </c>
      <c r="AB27" s="20" t="b">
        <f>Calc_Helper!C27</f>
        <v>0</v>
      </c>
      <c r="AC27" s="5">
        <f>IF(Calc_Helper!C27=TRUE(),1,0)</f>
        <v>0</v>
      </c>
      <c r="AD27" s="20" t="b">
        <f ca="1">Calc_Helper!D27</f>
        <v>0</v>
      </c>
      <c r="AE27" s="5">
        <f ca="1">IF(Calc_Helper!D27=TRUE(),1,0)</f>
        <v>0</v>
      </c>
      <c r="AF27" s="20" t="b">
        <f ca="1">Calc_Helper!O27</f>
        <v>0</v>
      </c>
      <c r="AG27" s="5">
        <f ca="1">IF(Calc_Helper!O27=TRUE(),1,0)</f>
        <v>0</v>
      </c>
      <c r="AH27" s="20" t="b">
        <f>Calc_Helper!P27</f>
        <v>0</v>
      </c>
      <c r="AI27" s="5">
        <f>IF(Calc_Helper!P27=TRUE(),1,0)</f>
        <v>0</v>
      </c>
      <c r="AJ27" s="20" t="b">
        <f ca="1">Calc_Helper!Q27</f>
        <v>0</v>
      </c>
      <c r="AK27" s="5">
        <f ca="1">IF(Calc_Helper!Q27=TRUE(),1,0)</f>
        <v>0</v>
      </c>
      <c r="AL27" s="20" t="b">
        <f ca="1">Calc_Helper!R27</f>
        <v>0</v>
      </c>
      <c r="AM27" s="5">
        <f ca="1">IF(Calc_Helper!R27=TRUE(),1,0)</f>
        <v>0</v>
      </c>
      <c r="AN27" s="5" t="str">
        <f>IF(Calc_Helper!S27="","Unknown",Calc_Helper!S27)</f>
        <v>Healthy</v>
      </c>
      <c r="AO27" s="5">
        <f>IF(OR(Calc_Helper!S27="Healthy",Calc_Helper!S27="On Track"),1,0)</f>
        <v>1</v>
      </c>
      <c r="AP27" s="20" t="b">
        <f>IFERROR(IF(Calc_Helper!T27="","",Calc_Helper!T27),"")</f>
        <v>0</v>
      </c>
      <c r="AQ27" s="5">
        <f>IF(Calc_Helper!T27=TRUE(),1,0)</f>
        <v>0</v>
      </c>
    </row>
    <row r="28" spans="1:43" x14ac:dyDescent="0.3">
      <c r="A28" s="2" t="str">
        <f>IF(Clean_Data!A28="","Unknown",Clean_Data!A28)</f>
        <v>TSK-0027</v>
      </c>
      <c r="B28" s="2" t="str">
        <f>IF(Clean_Data!B28="","Unknown",Clean_Data!B28)</f>
        <v>Product Launch</v>
      </c>
      <c r="C28" s="2" t="str">
        <f>IF(Clean_Data!C28="","Unknown",Clean_Data!C28)</f>
        <v>Marketing</v>
      </c>
      <c r="D28" s="2" t="str">
        <f>IF(Clean_Data!D28="","Unknown",Clean_Data!D28)</f>
        <v>Rahul Sharma</v>
      </c>
      <c r="E28" s="2" t="str">
        <f>IF(Clean_Data!E28="","Unknown",Clean_Data!E28)</f>
        <v>Manager</v>
      </c>
      <c r="F28" s="2" t="str">
        <f>IF(Clean_Data!F28="","Unknown",Clean_Data!F28)</f>
        <v>Medium</v>
      </c>
      <c r="G28" s="2" t="str">
        <f>IF(Clean_Data!G28="","Unknown",Clean_Data!G28)</f>
        <v>Planning</v>
      </c>
      <c r="H28" s="2" t="str">
        <f>IF(Clean_Data!K28="","Unknown",Clean_Data!K28)</f>
        <v>Completed</v>
      </c>
      <c r="I28" s="10">
        <f>Clean_Data!H28</f>
        <v>45438</v>
      </c>
      <c r="J28" s="10">
        <f>Clean_Data!I28</f>
        <v>45498</v>
      </c>
      <c r="K28" s="10">
        <f>Clean_Data!J28</f>
        <v>45512</v>
      </c>
      <c r="L28" s="2" t="str">
        <f>IF(Calc_Helper!I28="","Unknown",Calc_Helper!I28)</f>
        <v>2024-07</v>
      </c>
      <c r="M28" s="2" t="str">
        <f>IF(Calc_Helper!J28="","Unknown",Calc_Helper!J28)</f>
        <v>2024-05</v>
      </c>
      <c r="N28" s="19" t="str">
        <f>IF(Calc_Helper!K28="","",Calc_Helper!K28)</f>
        <v>2024-08</v>
      </c>
      <c r="O28" s="2">
        <f>IFERROR(Calc_Helper!L28,"")</f>
        <v>2024</v>
      </c>
      <c r="P28" s="2">
        <f>IFERROR(Calc_Helper!M28,"")</f>
        <v>5</v>
      </c>
      <c r="Q28" s="2" t="str">
        <f>IF(Calc_Helper!N28="","Unknown",Calc_Helper!N28)</f>
        <v>May</v>
      </c>
      <c r="R28" s="15">
        <f>IFERROR(IF(ISNUMBER(Clean_Data!L28),Clean_Data!L28,0),0)</f>
        <v>1</v>
      </c>
      <c r="S28" s="16">
        <f>IFERROR(IF(ISNUMBER(Clean_Data!M28),Clean_Data!M28,0),0)</f>
        <v>30.7</v>
      </c>
      <c r="T28" s="16">
        <f>IF(Clean_Data!N28="","",IFERROR(IF(ISNUMBER(Clean_Data!N28),Clean_Data!N28,""),""))</f>
        <v>36.1</v>
      </c>
      <c r="U28" s="16">
        <f>IFERROR(IF(ISNUMBER(Clean_Data!O28),Clean_Data!O28,0),0)</f>
        <v>5.4000000000000021</v>
      </c>
      <c r="V28" s="2">
        <f ca="1">IFERROR(IF(ISNUMBER(Calc_Helper!E28),Calc_Helper!E28,0),0)</f>
        <v>0</v>
      </c>
      <c r="W28" s="2">
        <f ca="1">IFERROR(IF(ISNUMBER(Calc_Helper!F28),Calc_Helper!F28,0),0)</f>
        <v>14</v>
      </c>
      <c r="X28" s="2">
        <f>IFERROR(IF(ISNUMBER(Calc_Helper!G28),Calc_Helper!G28,0),0)</f>
        <v>74</v>
      </c>
      <c r="Y28" s="2">
        <f ca="1">IFERROR(IF(ISNUMBER(Calc_Helper!H28),Calc_Helper!H28,0),0)</f>
        <v>74</v>
      </c>
      <c r="Z28" s="19" t="b">
        <f>Calc_Helper!B28</f>
        <v>1</v>
      </c>
      <c r="AA28" s="2">
        <f>IF(Calc_Helper!B28=TRUE(),1,0)</f>
        <v>1</v>
      </c>
      <c r="AB28" s="19" t="b">
        <f>Calc_Helper!C28</f>
        <v>0</v>
      </c>
      <c r="AC28" s="2">
        <f>IF(Calc_Helper!C28=TRUE(),1,0)</f>
        <v>0</v>
      </c>
      <c r="AD28" s="19" t="b">
        <f ca="1">Calc_Helper!D28</f>
        <v>0</v>
      </c>
      <c r="AE28" s="2">
        <f ca="1">IF(Calc_Helper!D28=TRUE(),1,0)</f>
        <v>0</v>
      </c>
      <c r="AF28" s="19" t="b">
        <f ca="1">Calc_Helper!O28</f>
        <v>0</v>
      </c>
      <c r="AG28" s="2">
        <f ca="1">IF(Calc_Helper!O28=TRUE(),1,0)</f>
        <v>0</v>
      </c>
      <c r="AH28" s="19" t="b">
        <f>Calc_Helper!P28</f>
        <v>0</v>
      </c>
      <c r="AI28" s="2">
        <f>IF(Calc_Helper!P28=TRUE(),1,0)</f>
        <v>0</v>
      </c>
      <c r="AJ28" s="19" t="b">
        <f ca="1">Calc_Helper!Q28</f>
        <v>0</v>
      </c>
      <c r="AK28" s="2">
        <f ca="1">IF(Calc_Helper!Q28=TRUE(),1,0)</f>
        <v>0</v>
      </c>
      <c r="AL28" s="19" t="b">
        <f ca="1">Calc_Helper!R28</f>
        <v>0</v>
      </c>
      <c r="AM28" s="2">
        <f ca="1">IF(Calc_Helper!R28=TRUE(),1,0)</f>
        <v>0</v>
      </c>
      <c r="AN28" s="2" t="str">
        <f>IF(Calc_Helper!S28="","Unknown",Calc_Helper!S28)</f>
        <v>Healthy</v>
      </c>
      <c r="AO28" s="2">
        <f>IF(OR(Calc_Helper!S28="Healthy",Calc_Helper!S28="On Track"),1,0)</f>
        <v>1</v>
      </c>
      <c r="AP28" s="19" t="b">
        <f>IFERROR(IF(Calc_Helper!T28="","",Calc_Helper!T28),"")</f>
        <v>0</v>
      </c>
      <c r="AQ28" s="2">
        <f>IF(Calc_Helper!T28=TRUE(),1,0)</f>
        <v>0</v>
      </c>
    </row>
    <row r="29" spans="1:43" x14ac:dyDescent="0.3">
      <c r="A29" s="5" t="str">
        <f>IF(Clean_Data!A29="","Unknown",Clean_Data!A29)</f>
        <v>TSK-0028</v>
      </c>
      <c r="B29" s="5" t="str">
        <f>IF(Clean_Data!B29="","Unknown",Clean_Data!B29)</f>
        <v>Website Redesign</v>
      </c>
      <c r="C29" s="5" t="str">
        <f>IF(Clean_Data!C29="","Unknown",Clean_Data!C29)</f>
        <v>Finance</v>
      </c>
      <c r="D29" s="5" t="str">
        <f>IF(Clean_Data!D29="","Unknown",Clean_Data!D29)</f>
        <v>Karan Malhotra</v>
      </c>
      <c r="E29" s="5" t="str">
        <f>IF(Clean_Data!E29="","Unknown",Clean_Data!E29)</f>
        <v>Manager</v>
      </c>
      <c r="F29" s="5" t="str">
        <f>IF(Clean_Data!F29="","Unknown",Clean_Data!F29)</f>
        <v>High</v>
      </c>
      <c r="G29" s="5" t="str">
        <f>IF(Clean_Data!G29="","Unknown",Clean_Data!G29)</f>
        <v>Research</v>
      </c>
      <c r="H29" s="5" t="str">
        <f>IF(Clean_Data!K29="","Unknown",Clean_Data!K29)</f>
        <v>On Hold</v>
      </c>
      <c r="I29" s="13">
        <f>Clean_Data!H29</f>
        <v>45315</v>
      </c>
      <c r="J29" s="13">
        <f>Clean_Data!I29</f>
        <v>45326</v>
      </c>
      <c r="K29" s="13" t="str">
        <f>Clean_Data!J29</f>
        <v/>
      </c>
      <c r="L29" s="5" t="str">
        <f>IF(Calc_Helper!I29="","Unknown",Calc_Helper!I29)</f>
        <v>2024-02</v>
      </c>
      <c r="M29" s="5" t="str">
        <f>IF(Calc_Helper!J29="","Unknown",Calc_Helper!J29)</f>
        <v>2024-01</v>
      </c>
      <c r="N29" s="19" t="str">
        <f>IF(Calc_Helper!K29="","",Calc_Helper!K29)</f>
        <v/>
      </c>
      <c r="O29" s="5">
        <f>IFERROR(Calc_Helper!L29,"")</f>
        <v>2024</v>
      </c>
      <c r="P29" s="5">
        <f>IFERROR(Calc_Helper!M29,"")</f>
        <v>1</v>
      </c>
      <c r="Q29" s="5" t="str">
        <f>IF(Calc_Helper!N29="","Unknown",Calc_Helper!N29)</f>
        <v>January</v>
      </c>
      <c r="R29" s="17">
        <f>IFERROR(IF(ISNUMBER(Clean_Data!L29),Clean_Data!L29,0),0)</f>
        <v>0</v>
      </c>
      <c r="S29" s="18">
        <f>IFERROR(IF(ISNUMBER(Clean_Data!M29),Clean_Data!M29,0),0)</f>
        <v>63.8</v>
      </c>
      <c r="T29" s="16">
        <f>IF(Clean_Data!N29="","",IFERROR(IF(ISNUMBER(Clean_Data!N29),Clean_Data!N29,""),""))</f>
        <v>0</v>
      </c>
      <c r="U29" s="18">
        <f>IFERROR(IF(ISNUMBER(Clean_Data!O29),Clean_Data!O29,0),0)</f>
        <v>-63.8</v>
      </c>
      <c r="V29" s="5">
        <f ca="1">IFERROR(IF(ISNUMBER(Calc_Helper!E29),Calc_Helper!E29,0),0)</f>
        <v>811</v>
      </c>
      <c r="W29" s="5">
        <f ca="1">IFERROR(IF(ISNUMBER(Calc_Helper!F29),Calc_Helper!F29,0),0)</f>
        <v>800</v>
      </c>
      <c r="X29" s="5">
        <f>IFERROR(IF(ISNUMBER(Calc_Helper!G29),Calc_Helper!G29,0),0)</f>
        <v>0</v>
      </c>
      <c r="Y29" s="5">
        <f ca="1">IFERROR(IF(ISNUMBER(Calc_Helper!H29),Calc_Helper!H29,0),0)</f>
        <v>811</v>
      </c>
      <c r="Z29" s="20" t="b">
        <f>Calc_Helper!B29</f>
        <v>0</v>
      </c>
      <c r="AA29" s="5">
        <f>IF(Calc_Helper!B29=TRUE(),1,0)</f>
        <v>0</v>
      </c>
      <c r="AB29" s="20" t="b">
        <f>Calc_Helper!C29</f>
        <v>1</v>
      </c>
      <c r="AC29" s="5">
        <f>IF(Calc_Helper!C29=TRUE(),1,0)</f>
        <v>1</v>
      </c>
      <c r="AD29" s="20" t="b">
        <f ca="1">Calc_Helper!D29</f>
        <v>1</v>
      </c>
      <c r="AE29" s="5">
        <f ca="1">IF(Calc_Helper!D29=TRUE(),1,0)</f>
        <v>1</v>
      </c>
      <c r="AF29" s="20" t="b">
        <f ca="1">Calc_Helper!O29</f>
        <v>1</v>
      </c>
      <c r="AG29" s="5">
        <f ca="1">IF(Calc_Helper!O29=TRUE(),1,0)</f>
        <v>1</v>
      </c>
      <c r="AH29" s="20" t="b">
        <f>Calc_Helper!P29</f>
        <v>1</v>
      </c>
      <c r="AI29" s="5">
        <f>IF(Calc_Helper!P29=TRUE(),1,0)</f>
        <v>1</v>
      </c>
      <c r="AJ29" s="20" t="b">
        <f ca="1">Calc_Helper!Q29</f>
        <v>1</v>
      </c>
      <c r="AK29" s="5">
        <f ca="1">IF(Calc_Helper!Q29=TRUE(),1,0)</f>
        <v>1</v>
      </c>
      <c r="AL29" s="20" t="b">
        <f ca="1">Calc_Helper!R29</f>
        <v>0</v>
      </c>
      <c r="AM29" s="5">
        <f ca="1">IF(Calc_Helper!R29=TRUE(),1,0)</f>
        <v>0</v>
      </c>
      <c r="AN29" s="5" t="str">
        <f>IF(Calc_Helper!S29="","Unknown",Calc_Helper!S29)</f>
        <v>N/A</v>
      </c>
      <c r="AO29" s="5">
        <f>IF(OR(Calc_Helper!S29="Healthy",Calc_Helper!S29="On Track"),1,0)</f>
        <v>0</v>
      </c>
      <c r="AP29" s="5" t="str">
        <f>IFERROR(IF(Calc_Helper!T29="","",Calc_Helper!T29),"")</f>
        <v/>
      </c>
      <c r="AQ29" s="5">
        <f>IF(Calc_Helper!T29=TRUE(),1,0)</f>
        <v>0</v>
      </c>
    </row>
    <row r="30" spans="1:43" x14ac:dyDescent="0.3">
      <c r="A30" s="2" t="str">
        <f>IF(Clean_Data!A30="","Unknown",Clean_Data!A30)</f>
        <v>TSK-0029</v>
      </c>
      <c r="B30" s="2" t="str">
        <f>IF(Clean_Data!B30="","Unknown",Clean_Data!B30)</f>
        <v>CRM Migration</v>
      </c>
      <c r="C30" s="2" t="str">
        <f>IF(Clean_Data!C30="","Unknown",Clean_Data!C30)</f>
        <v>Operations</v>
      </c>
      <c r="D30" s="2" t="str">
        <f>IF(Clean_Data!D30="","Unknown",Clean_Data!D30)</f>
        <v>Karan Malhotra</v>
      </c>
      <c r="E30" s="2" t="str">
        <f>IF(Clean_Data!E30="","Unknown",Clean_Data!E30)</f>
        <v>Manager</v>
      </c>
      <c r="F30" s="2" t="str">
        <f>IF(Clean_Data!F30="","Unknown",Clean_Data!F30)</f>
        <v>Medium</v>
      </c>
      <c r="G30" s="2" t="str">
        <f>IF(Clean_Data!G30="","Unknown",Clean_Data!G30)</f>
        <v>Development</v>
      </c>
      <c r="H30" s="2" t="str">
        <f>IF(Clean_Data!K30="","Unknown",Clean_Data!K30)</f>
        <v>Completed</v>
      </c>
      <c r="I30" s="10">
        <f>Clean_Data!H30</f>
        <v>45658</v>
      </c>
      <c r="J30" s="10">
        <f>Clean_Data!I30</f>
        <v>45690</v>
      </c>
      <c r="K30" s="10">
        <f>Clean_Data!J30</f>
        <v>45696</v>
      </c>
      <c r="L30" s="2" t="str">
        <f>IF(Calc_Helper!I30="","Unknown",Calc_Helper!I30)</f>
        <v>2025-02</v>
      </c>
      <c r="M30" s="2" t="str">
        <f>IF(Calc_Helper!J30="","Unknown",Calc_Helper!J30)</f>
        <v>2025-01</v>
      </c>
      <c r="N30" s="19" t="str">
        <f>IF(Calc_Helper!K30="","",Calc_Helper!K30)</f>
        <v>2025-02</v>
      </c>
      <c r="O30" s="2">
        <f>IFERROR(Calc_Helper!L30,"")</f>
        <v>2025</v>
      </c>
      <c r="P30" s="2">
        <f>IFERROR(Calc_Helper!M30,"")</f>
        <v>1</v>
      </c>
      <c r="Q30" s="2" t="str">
        <f>IF(Calc_Helper!N30="","Unknown",Calc_Helper!N30)</f>
        <v>January</v>
      </c>
      <c r="R30" s="15">
        <f>IFERROR(IF(ISNUMBER(Clean_Data!L30),Clean_Data!L30,0),0)</f>
        <v>1</v>
      </c>
      <c r="S30" s="16">
        <f>IFERROR(IF(ISNUMBER(Clean_Data!M30),Clean_Data!M30,0),0)</f>
        <v>56.2</v>
      </c>
      <c r="T30" s="16">
        <f>IF(Clean_Data!N30="","",IFERROR(IF(ISNUMBER(Clean_Data!N30),Clean_Data!N30,""),""))</f>
        <v>78.8</v>
      </c>
      <c r="U30" s="16">
        <f>IFERROR(IF(ISNUMBER(Clean_Data!O30),Clean_Data!O30,0),0)</f>
        <v>22.599999999999994</v>
      </c>
      <c r="V30" s="2">
        <f ca="1">IFERROR(IF(ISNUMBER(Calc_Helper!E30),Calc_Helper!E30,0),0)</f>
        <v>0</v>
      </c>
      <c r="W30" s="2">
        <f ca="1">IFERROR(IF(ISNUMBER(Calc_Helper!F30),Calc_Helper!F30,0),0)</f>
        <v>6</v>
      </c>
      <c r="X30" s="2">
        <f>IFERROR(IF(ISNUMBER(Calc_Helper!G30),Calc_Helper!G30,0),0)</f>
        <v>38</v>
      </c>
      <c r="Y30" s="2">
        <f ca="1">IFERROR(IF(ISNUMBER(Calc_Helper!H30),Calc_Helper!H30,0),0)</f>
        <v>38</v>
      </c>
      <c r="Z30" s="19" t="b">
        <f>Calc_Helper!B30</f>
        <v>1</v>
      </c>
      <c r="AA30" s="2">
        <f>IF(Calc_Helper!B30=TRUE(),1,0)</f>
        <v>1</v>
      </c>
      <c r="AB30" s="19" t="b">
        <f>Calc_Helper!C30</f>
        <v>0</v>
      </c>
      <c r="AC30" s="2">
        <f>IF(Calc_Helper!C30=TRUE(),1,0)</f>
        <v>0</v>
      </c>
      <c r="AD30" s="19" t="b">
        <f ca="1">Calc_Helper!D30</f>
        <v>0</v>
      </c>
      <c r="AE30" s="2">
        <f ca="1">IF(Calc_Helper!D30=TRUE(),1,0)</f>
        <v>0</v>
      </c>
      <c r="AF30" s="19" t="b">
        <f ca="1">Calc_Helper!O30</f>
        <v>0</v>
      </c>
      <c r="AG30" s="2">
        <f ca="1">IF(Calc_Helper!O30=TRUE(),1,0)</f>
        <v>0</v>
      </c>
      <c r="AH30" s="19" t="b">
        <f>Calc_Helper!P30</f>
        <v>0</v>
      </c>
      <c r="AI30" s="2">
        <f>IF(Calc_Helper!P30=TRUE(),1,0)</f>
        <v>0</v>
      </c>
      <c r="AJ30" s="19" t="b">
        <f ca="1">Calc_Helper!Q30</f>
        <v>0</v>
      </c>
      <c r="AK30" s="2">
        <f ca="1">IF(Calc_Helper!Q30=TRUE(),1,0)</f>
        <v>0</v>
      </c>
      <c r="AL30" s="19" t="b">
        <f ca="1">Calc_Helper!R30</f>
        <v>0</v>
      </c>
      <c r="AM30" s="2">
        <f ca="1">IF(Calc_Helper!R30=TRUE(),1,0)</f>
        <v>0</v>
      </c>
      <c r="AN30" s="2" t="str">
        <f>IF(Calc_Helper!S30="","Unknown",Calc_Helper!S30)</f>
        <v>Over Budget</v>
      </c>
      <c r="AO30" s="2">
        <f>IF(OR(Calc_Helper!S30="Healthy",Calc_Helper!S30="On Track"),1,0)</f>
        <v>0</v>
      </c>
      <c r="AP30" s="19" t="b">
        <f>IFERROR(IF(Calc_Helper!T30="","",Calc_Helper!T30),"")</f>
        <v>0</v>
      </c>
      <c r="AQ30" s="2">
        <f>IF(Calc_Helper!T30=TRUE(),1,0)</f>
        <v>0</v>
      </c>
    </row>
    <row r="31" spans="1:43" x14ac:dyDescent="0.3">
      <c r="A31" s="5" t="str">
        <f>IF(Clean_Data!A31="","Unknown",Clean_Data!A31)</f>
        <v>TSK-0030</v>
      </c>
      <c r="B31" s="5" t="str">
        <f>IF(Clean_Data!B31="","Unknown",Clean_Data!B31)</f>
        <v>Marketing Campaign</v>
      </c>
      <c r="C31" s="5" t="str">
        <f>IF(Clean_Data!C31="","Unknown",Clean_Data!C31)</f>
        <v>IT</v>
      </c>
      <c r="D31" s="5" t="str">
        <f>IF(Clean_Data!D31="","Unknown",Clean_Data!D31)</f>
        <v>Rohan Iyer</v>
      </c>
      <c r="E31" s="5" t="str">
        <f>IF(Clean_Data!E31="","Unknown",Clean_Data!E31)</f>
        <v>Designer</v>
      </c>
      <c r="F31" s="5" t="str">
        <f>IF(Clean_Data!F31="","Unknown",Clean_Data!F31)</f>
        <v>Low</v>
      </c>
      <c r="G31" s="5" t="str">
        <f>IF(Clean_Data!G31="","Unknown",Clean_Data!G31)</f>
        <v>Planning</v>
      </c>
      <c r="H31" s="5" t="str">
        <f>IF(Clean_Data!K31="","Unknown",Clean_Data!K31)</f>
        <v>Completed</v>
      </c>
      <c r="I31" s="13">
        <f>Clean_Data!H31</f>
        <v>45635</v>
      </c>
      <c r="J31" s="13">
        <f>Clean_Data!I31</f>
        <v>45694</v>
      </c>
      <c r="K31" s="13">
        <f>Clean_Data!J31</f>
        <v>45707</v>
      </c>
      <c r="L31" s="5" t="str">
        <f>IF(Calc_Helper!I31="","Unknown",Calc_Helper!I31)</f>
        <v>2025-02</v>
      </c>
      <c r="M31" s="5" t="str">
        <f>IF(Calc_Helper!J31="","Unknown",Calc_Helper!J31)</f>
        <v>2024-12</v>
      </c>
      <c r="N31" s="19" t="str">
        <f>IF(Calc_Helper!K31="","",Calc_Helper!K31)</f>
        <v>2025-02</v>
      </c>
      <c r="O31" s="5">
        <f>IFERROR(Calc_Helper!L31,"")</f>
        <v>2024</v>
      </c>
      <c r="P31" s="5">
        <f>IFERROR(Calc_Helper!M31,"")</f>
        <v>12</v>
      </c>
      <c r="Q31" s="5" t="str">
        <f>IF(Calc_Helper!N31="","Unknown",Calc_Helper!N31)</f>
        <v>December</v>
      </c>
      <c r="R31" s="17">
        <f>IFERROR(IF(ISNUMBER(Clean_Data!L31),Clean_Data!L31,0),0)</f>
        <v>1</v>
      </c>
      <c r="S31" s="18">
        <f>IFERROR(IF(ISNUMBER(Clean_Data!M31),Clean_Data!M31,0),0)</f>
        <v>42.5</v>
      </c>
      <c r="T31" s="16">
        <f>IF(Clean_Data!N31="","",IFERROR(IF(ISNUMBER(Clean_Data!N31),Clean_Data!N31,""),""))</f>
        <v>54.2</v>
      </c>
      <c r="U31" s="18">
        <f>IFERROR(IF(ISNUMBER(Clean_Data!O31),Clean_Data!O31,0),0)</f>
        <v>11.700000000000003</v>
      </c>
      <c r="V31" s="5">
        <f ca="1">IFERROR(IF(ISNUMBER(Calc_Helper!E31),Calc_Helper!E31,0),0)</f>
        <v>0</v>
      </c>
      <c r="W31" s="5">
        <f ca="1">IFERROR(IF(ISNUMBER(Calc_Helper!F31),Calc_Helper!F31,0),0)</f>
        <v>13</v>
      </c>
      <c r="X31" s="5">
        <f>IFERROR(IF(ISNUMBER(Calc_Helper!G31),Calc_Helper!G31,0),0)</f>
        <v>72</v>
      </c>
      <c r="Y31" s="5">
        <f ca="1">IFERROR(IF(ISNUMBER(Calc_Helper!H31),Calc_Helper!H31,0),0)</f>
        <v>72</v>
      </c>
      <c r="Z31" s="20" t="b">
        <f>Calc_Helper!B31</f>
        <v>1</v>
      </c>
      <c r="AA31" s="5">
        <f>IF(Calc_Helper!B31=TRUE(),1,0)</f>
        <v>1</v>
      </c>
      <c r="AB31" s="20" t="b">
        <f>Calc_Helper!C31</f>
        <v>0</v>
      </c>
      <c r="AC31" s="5">
        <f>IF(Calc_Helper!C31=TRUE(),1,0)</f>
        <v>0</v>
      </c>
      <c r="AD31" s="20" t="b">
        <f ca="1">Calc_Helper!D31</f>
        <v>0</v>
      </c>
      <c r="AE31" s="5">
        <f ca="1">IF(Calc_Helper!D31=TRUE(),1,0)</f>
        <v>0</v>
      </c>
      <c r="AF31" s="20" t="b">
        <f ca="1">Calc_Helper!O31</f>
        <v>0</v>
      </c>
      <c r="AG31" s="5">
        <f ca="1">IF(Calc_Helper!O31=TRUE(),1,0)</f>
        <v>0</v>
      </c>
      <c r="AH31" s="20" t="b">
        <f>Calc_Helper!P31</f>
        <v>0</v>
      </c>
      <c r="AI31" s="5">
        <f>IF(Calc_Helper!P31=TRUE(),1,0)</f>
        <v>0</v>
      </c>
      <c r="AJ31" s="20" t="b">
        <f ca="1">Calc_Helper!Q31</f>
        <v>0</v>
      </c>
      <c r="AK31" s="5">
        <f ca="1">IF(Calc_Helper!Q31=TRUE(),1,0)</f>
        <v>0</v>
      </c>
      <c r="AL31" s="20" t="b">
        <f ca="1">Calc_Helper!R31</f>
        <v>0</v>
      </c>
      <c r="AM31" s="5">
        <f ca="1">IF(Calc_Helper!R31=TRUE(),1,0)</f>
        <v>0</v>
      </c>
      <c r="AN31" s="5" t="str">
        <f>IF(Calc_Helper!S31="","Unknown",Calc_Helper!S31)</f>
        <v>Over Budget</v>
      </c>
      <c r="AO31" s="5">
        <f>IF(OR(Calc_Helper!S31="Healthy",Calc_Helper!S31="On Track"),1,0)</f>
        <v>0</v>
      </c>
      <c r="AP31" s="20" t="b">
        <f>IFERROR(IF(Calc_Helper!T31="","",Calc_Helper!T31),"")</f>
        <v>0</v>
      </c>
      <c r="AQ31" s="5">
        <f>IF(Calc_Helper!T31=TRUE(),1,0)</f>
        <v>0</v>
      </c>
    </row>
    <row r="32" spans="1:43" x14ac:dyDescent="0.3">
      <c r="A32" s="2" t="str">
        <f>IF(Clean_Data!A32="","Unknown",Clean_Data!A32)</f>
        <v>TSK-0031</v>
      </c>
      <c r="B32" s="2" t="str">
        <f>IF(Clean_Data!B32="","Unknown",Clean_Data!B32)</f>
        <v>Supply Chain Optimization</v>
      </c>
      <c r="C32" s="2" t="str">
        <f>IF(Clean_Data!C32="","Unknown",Clean_Data!C32)</f>
        <v>Finance</v>
      </c>
      <c r="D32" s="2" t="str">
        <f>IF(Clean_Data!D32="","Unknown",Clean_Data!D32)</f>
        <v>Sneha Gupta</v>
      </c>
      <c r="E32" s="2" t="str">
        <f>IF(Clean_Data!E32="","Unknown",Clean_Data!E32)</f>
        <v>Coordinator</v>
      </c>
      <c r="F32" s="2" t="str">
        <f>IF(Clean_Data!F32="","Unknown",Clean_Data!F32)</f>
        <v>Low</v>
      </c>
      <c r="G32" s="2" t="str">
        <f>IF(Clean_Data!G32="","Unknown",Clean_Data!G32)</f>
        <v>Review</v>
      </c>
      <c r="H32" s="2" t="str">
        <f>IF(Clean_Data!K32="","Unknown",Clean_Data!K32)</f>
        <v>In Progress</v>
      </c>
      <c r="I32" s="10">
        <f>Clean_Data!H32</f>
        <v>45642</v>
      </c>
      <c r="J32" s="10">
        <f>Clean_Data!I32</f>
        <v>45694</v>
      </c>
      <c r="K32" s="10" t="str">
        <f>Clean_Data!J32</f>
        <v/>
      </c>
      <c r="L32" s="2" t="str">
        <f>IF(Calc_Helper!I32="","Unknown",Calc_Helper!I32)</f>
        <v>2025-02</v>
      </c>
      <c r="M32" s="2" t="str">
        <f>IF(Calc_Helper!J32="","Unknown",Calc_Helper!J32)</f>
        <v>2024-12</v>
      </c>
      <c r="N32" s="19" t="str">
        <f>IF(Calc_Helper!K32="","",Calc_Helper!K32)</f>
        <v/>
      </c>
      <c r="O32" s="2">
        <f>IFERROR(Calc_Helper!L32,"")</f>
        <v>2024</v>
      </c>
      <c r="P32" s="2">
        <f>IFERROR(Calc_Helper!M32,"")</f>
        <v>12</v>
      </c>
      <c r="Q32" s="2" t="str">
        <f>IF(Calc_Helper!N32="","Unknown",Calc_Helper!N32)</f>
        <v>December</v>
      </c>
      <c r="R32" s="15">
        <f>IFERROR(IF(ISNUMBER(Clean_Data!L32),Clean_Data!L32,0),0)</f>
        <v>0</v>
      </c>
      <c r="S32" s="16">
        <f>IFERROR(IF(ISNUMBER(Clean_Data!M32),Clean_Data!M32,0),0)</f>
        <v>45.6</v>
      </c>
      <c r="T32" s="16" t="str">
        <f>IF(Clean_Data!N32="","",IFERROR(IF(ISNUMBER(Clean_Data!N32),Clean_Data!N32,""),""))</f>
        <v/>
      </c>
      <c r="U32" s="16">
        <f>IFERROR(IF(ISNUMBER(Clean_Data!O32),Clean_Data!O32,0),0)</f>
        <v>0</v>
      </c>
      <c r="V32" s="2">
        <f ca="1">IFERROR(IF(ISNUMBER(Calc_Helper!E32),Calc_Helper!E32,0),0)</f>
        <v>484</v>
      </c>
      <c r="W32" s="2">
        <f ca="1">IFERROR(IF(ISNUMBER(Calc_Helper!F32),Calc_Helper!F32,0),0)</f>
        <v>432</v>
      </c>
      <c r="X32" s="2">
        <f>IFERROR(IF(ISNUMBER(Calc_Helper!G32),Calc_Helper!G32,0),0)</f>
        <v>0</v>
      </c>
      <c r="Y32" s="2">
        <f ca="1">IFERROR(IF(ISNUMBER(Calc_Helper!H32),Calc_Helper!H32,0),0)</f>
        <v>484</v>
      </c>
      <c r="Z32" s="19" t="b">
        <f>Calc_Helper!B32</f>
        <v>0</v>
      </c>
      <c r="AA32" s="2">
        <f>IF(Calc_Helper!B32=TRUE(),1,0)</f>
        <v>0</v>
      </c>
      <c r="AB32" s="19" t="b">
        <f>Calc_Helper!C32</f>
        <v>1</v>
      </c>
      <c r="AC32" s="2">
        <f>IF(Calc_Helper!C32=TRUE(),1,0)</f>
        <v>1</v>
      </c>
      <c r="AD32" s="19" t="b">
        <f ca="1">Calc_Helper!D32</f>
        <v>1</v>
      </c>
      <c r="AE32" s="2">
        <f ca="1">IF(Calc_Helper!D32=TRUE(),1,0)</f>
        <v>1</v>
      </c>
      <c r="AF32" s="19" t="b">
        <f ca="1">Calc_Helper!O32</f>
        <v>1</v>
      </c>
      <c r="AG32" s="2">
        <f ca="1">IF(Calc_Helper!O32=TRUE(),1,0)</f>
        <v>1</v>
      </c>
      <c r="AH32" s="19" t="b">
        <f>Calc_Helper!P32</f>
        <v>0</v>
      </c>
      <c r="AI32" s="2">
        <f>IF(Calc_Helper!P32=TRUE(),1,0)</f>
        <v>0</v>
      </c>
      <c r="AJ32" s="19" t="b">
        <f ca="1">Calc_Helper!Q32</f>
        <v>0</v>
      </c>
      <c r="AK32" s="2">
        <f ca="1">IF(Calc_Helper!Q32=TRUE(),1,0)</f>
        <v>0</v>
      </c>
      <c r="AL32" s="19" t="b">
        <f ca="1">Calc_Helper!R32</f>
        <v>1</v>
      </c>
      <c r="AM32" s="2">
        <f ca="1">IF(Calc_Helper!R32=TRUE(),1,0)</f>
        <v>1</v>
      </c>
      <c r="AN32" s="2" t="str">
        <f>IF(Calc_Helper!S32="","Unknown",Calc_Helper!S32)</f>
        <v>N/A</v>
      </c>
      <c r="AO32" s="2">
        <f>IF(OR(Calc_Helper!S32="Healthy",Calc_Helper!S32="On Track"),1,0)</f>
        <v>0</v>
      </c>
      <c r="AP32" s="2" t="str">
        <f>IFERROR(IF(Calc_Helper!T32="","",Calc_Helper!T32),"")</f>
        <v/>
      </c>
      <c r="AQ32" s="2">
        <f>IF(Calc_Helper!T32=TRUE(),1,0)</f>
        <v>0</v>
      </c>
    </row>
    <row r="33" spans="1:43" x14ac:dyDescent="0.3">
      <c r="A33" s="5" t="str">
        <f>IF(Clean_Data!A33="","Unknown",Clean_Data!A33)</f>
        <v>TSK-0032</v>
      </c>
      <c r="B33" s="5" t="str">
        <f>IF(Clean_Data!B33="","Unknown",Clean_Data!B33)</f>
        <v>Marketing Campaign</v>
      </c>
      <c r="C33" s="5" t="str">
        <f>IF(Clean_Data!C33="","Unknown",Clean_Data!C33)</f>
        <v>HR</v>
      </c>
      <c r="D33" s="5" t="str">
        <f>IF(Clean_Data!D33="","Unknown",Clean_Data!D33)</f>
        <v>Kavita Rao</v>
      </c>
      <c r="E33" s="5" t="str">
        <f>IF(Clean_Data!E33="","Unknown",Clean_Data!E33)</f>
        <v>Coordinator</v>
      </c>
      <c r="F33" s="5" t="str">
        <f>IF(Clean_Data!F33="","Unknown",Clean_Data!F33)</f>
        <v>Medium</v>
      </c>
      <c r="G33" s="5" t="str">
        <f>IF(Clean_Data!G33="","Unknown",Clean_Data!G33)</f>
        <v>Design</v>
      </c>
      <c r="H33" s="5" t="str">
        <f>IF(Clean_Data!K33="","Unknown",Clean_Data!K33)</f>
        <v>In Progress</v>
      </c>
      <c r="I33" s="13">
        <f>Clean_Data!H33</f>
        <v>45557</v>
      </c>
      <c r="J33" s="13">
        <f>Clean_Data!I33</f>
        <v>45592</v>
      </c>
      <c r="K33" s="13" t="str">
        <f>Clean_Data!J33</f>
        <v/>
      </c>
      <c r="L33" s="5" t="str">
        <f>IF(Calc_Helper!I33="","Unknown",Calc_Helper!I33)</f>
        <v>2024-10</v>
      </c>
      <c r="M33" s="5" t="str">
        <f>IF(Calc_Helper!J33="","Unknown",Calc_Helper!J33)</f>
        <v>2024-09</v>
      </c>
      <c r="N33" s="19" t="str">
        <f>IF(Calc_Helper!K33="","",Calc_Helper!K33)</f>
        <v/>
      </c>
      <c r="O33" s="5">
        <f>IFERROR(Calc_Helper!L33,"")</f>
        <v>2024</v>
      </c>
      <c r="P33" s="5">
        <f>IFERROR(Calc_Helper!M33,"")</f>
        <v>9</v>
      </c>
      <c r="Q33" s="5" t="str">
        <f>IF(Calc_Helper!N33="","Unknown",Calc_Helper!N33)</f>
        <v>September</v>
      </c>
      <c r="R33" s="17">
        <f>IFERROR(IF(ISNUMBER(Clean_Data!L33),Clean_Data!L33,0),0)</f>
        <v>0.62</v>
      </c>
      <c r="S33" s="18">
        <f>IFERROR(IF(ISNUMBER(Clean_Data!M33),Clean_Data!M33,0),0)</f>
        <v>11.1</v>
      </c>
      <c r="T33" s="16">
        <f>IF(Clean_Data!N33="","",IFERROR(IF(ISNUMBER(Clean_Data!N33),Clean_Data!N33,""),""))</f>
        <v>3.9</v>
      </c>
      <c r="U33" s="18">
        <f>IFERROR(IF(ISNUMBER(Clean_Data!O33),Clean_Data!O33,0),0)</f>
        <v>-7.1999999999999993</v>
      </c>
      <c r="V33" s="5">
        <f ca="1">IFERROR(IF(ISNUMBER(Calc_Helper!E33),Calc_Helper!E33,0),0)</f>
        <v>569</v>
      </c>
      <c r="W33" s="5">
        <f ca="1">IFERROR(IF(ISNUMBER(Calc_Helper!F33),Calc_Helper!F33,0),0)</f>
        <v>534</v>
      </c>
      <c r="X33" s="5">
        <f>IFERROR(IF(ISNUMBER(Calc_Helper!G33),Calc_Helper!G33,0),0)</f>
        <v>0</v>
      </c>
      <c r="Y33" s="5">
        <f ca="1">IFERROR(IF(ISNUMBER(Calc_Helper!H33),Calc_Helper!H33,0),0)</f>
        <v>569</v>
      </c>
      <c r="Z33" s="20" t="b">
        <f>Calc_Helper!B33</f>
        <v>0</v>
      </c>
      <c r="AA33" s="5">
        <f>IF(Calc_Helper!B33=TRUE(),1,0)</f>
        <v>0</v>
      </c>
      <c r="AB33" s="20" t="b">
        <f>Calc_Helper!C33</f>
        <v>1</v>
      </c>
      <c r="AC33" s="5">
        <f>IF(Calc_Helper!C33=TRUE(),1,0)</f>
        <v>1</v>
      </c>
      <c r="AD33" s="20" t="b">
        <f ca="1">Calc_Helper!D33</f>
        <v>1</v>
      </c>
      <c r="AE33" s="5">
        <f ca="1">IF(Calc_Helper!D33=TRUE(),1,0)</f>
        <v>1</v>
      </c>
      <c r="AF33" s="20" t="b">
        <f ca="1">Calc_Helper!O33</f>
        <v>1</v>
      </c>
      <c r="AG33" s="5">
        <f ca="1">IF(Calc_Helper!O33=TRUE(),1,0)</f>
        <v>1</v>
      </c>
      <c r="AH33" s="20" t="b">
        <f>Calc_Helper!P33</f>
        <v>0</v>
      </c>
      <c r="AI33" s="5">
        <f>IF(Calc_Helper!P33=TRUE(),1,0)</f>
        <v>0</v>
      </c>
      <c r="AJ33" s="20" t="b">
        <f ca="1">Calc_Helper!Q33</f>
        <v>0</v>
      </c>
      <c r="AK33" s="5">
        <f ca="1">IF(Calc_Helper!Q33=TRUE(),1,0)</f>
        <v>0</v>
      </c>
      <c r="AL33" s="20" t="b">
        <f ca="1">Calc_Helper!R33</f>
        <v>1</v>
      </c>
      <c r="AM33" s="5">
        <f ca="1">IF(Calc_Helper!R33=TRUE(),1,0)</f>
        <v>1</v>
      </c>
      <c r="AN33" s="5" t="str">
        <f>IF(Calc_Helper!S33="","Unknown",Calc_Helper!S33)</f>
        <v>On Track</v>
      </c>
      <c r="AO33" s="5">
        <f>IF(OR(Calc_Helper!S33="Healthy",Calc_Helper!S33="On Track"),1,0)</f>
        <v>1</v>
      </c>
      <c r="AP33" s="5" t="str">
        <f>IFERROR(IF(Calc_Helper!T33="","",Calc_Helper!T33),"")</f>
        <v/>
      </c>
      <c r="AQ33" s="5">
        <f>IF(Calc_Helper!T33=TRUE(),1,0)</f>
        <v>0</v>
      </c>
    </row>
    <row r="34" spans="1:43" x14ac:dyDescent="0.3">
      <c r="A34" s="2" t="str">
        <f>IF(Clean_Data!A34="","Unknown",Clean_Data!A34)</f>
        <v>TSK-0033</v>
      </c>
      <c r="B34" s="2" t="str">
        <f>IF(Clean_Data!B34="","Unknown",Clean_Data!B34)</f>
        <v>Product Launch</v>
      </c>
      <c r="C34" s="2" t="str">
        <f>IF(Clean_Data!C34="","Unknown",Clean_Data!C34)</f>
        <v>Finance</v>
      </c>
      <c r="D34" s="2" t="str">
        <f>IF(Clean_Data!D34="","Unknown",Clean_Data!D34)</f>
        <v>Rahul Sharma</v>
      </c>
      <c r="E34" s="2" t="str">
        <f>IF(Clean_Data!E34="","Unknown",Clean_Data!E34)</f>
        <v>Analyst</v>
      </c>
      <c r="F34" s="2" t="str">
        <f>IF(Clean_Data!F34="","Unknown",Clean_Data!F34)</f>
        <v>High</v>
      </c>
      <c r="G34" s="2" t="str">
        <f>IF(Clean_Data!G34="","Unknown",Clean_Data!G34)</f>
        <v>Deployment</v>
      </c>
      <c r="H34" s="2" t="str">
        <f>IF(Clean_Data!K34="","Unknown",Clean_Data!K34)</f>
        <v>Completed</v>
      </c>
      <c r="I34" s="10">
        <f>Clean_Data!H34</f>
        <v>45608</v>
      </c>
      <c r="J34" s="10">
        <f>Clean_Data!I34</f>
        <v>45667</v>
      </c>
      <c r="K34" s="10">
        <f>Clean_Data!J34</f>
        <v>45671</v>
      </c>
      <c r="L34" s="2" t="str">
        <f>IF(Calc_Helper!I34="","Unknown",Calc_Helper!I34)</f>
        <v>2025-01</v>
      </c>
      <c r="M34" s="2" t="str">
        <f>IF(Calc_Helper!J34="","Unknown",Calc_Helper!J34)</f>
        <v>2024-11</v>
      </c>
      <c r="N34" s="19" t="str">
        <f>IF(Calc_Helper!K34="","",Calc_Helper!K34)</f>
        <v>2025-01</v>
      </c>
      <c r="O34" s="2">
        <f>IFERROR(Calc_Helper!L34,"")</f>
        <v>2024</v>
      </c>
      <c r="P34" s="2">
        <f>IFERROR(Calc_Helper!M34,"")</f>
        <v>11</v>
      </c>
      <c r="Q34" s="2" t="str">
        <f>IF(Calc_Helper!N34="","Unknown",Calc_Helper!N34)</f>
        <v>November</v>
      </c>
      <c r="R34" s="15">
        <f>IFERROR(IF(ISNUMBER(Clean_Data!L34),Clean_Data!L34,0),0)</f>
        <v>1</v>
      </c>
      <c r="S34" s="16">
        <f>IFERROR(IF(ISNUMBER(Clean_Data!M34),Clean_Data!M34,0),0)</f>
        <v>71.3</v>
      </c>
      <c r="T34" s="16">
        <f>IF(Clean_Data!N34="","",IFERROR(IF(ISNUMBER(Clean_Data!N34),Clean_Data!N34,""),""))</f>
        <v>79.3</v>
      </c>
      <c r="U34" s="16">
        <f>IFERROR(IF(ISNUMBER(Clean_Data!O34),Clean_Data!O34,0),0)</f>
        <v>8</v>
      </c>
      <c r="V34" s="2">
        <f ca="1">IFERROR(IF(ISNUMBER(Calc_Helper!E34),Calc_Helper!E34,0),0)</f>
        <v>0</v>
      </c>
      <c r="W34" s="2">
        <f ca="1">IFERROR(IF(ISNUMBER(Calc_Helper!F34),Calc_Helper!F34,0),0)</f>
        <v>4</v>
      </c>
      <c r="X34" s="2">
        <f>IFERROR(IF(ISNUMBER(Calc_Helper!G34),Calc_Helper!G34,0),0)</f>
        <v>63</v>
      </c>
      <c r="Y34" s="2">
        <f ca="1">IFERROR(IF(ISNUMBER(Calc_Helper!H34),Calc_Helper!H34,0),0)</f>
        <v>63</v>
      </c>
      <c r="Z34" s="19" t="b">
        <f>Calc_Helper!B34</f>
        <v>1</v>
      </c>
      <c r="AA34" s="2">
        <f>IF(Calc_Helper!B34=TRUE(),1,0)</f>
        <v>1</v>
      </c>
      <c r="AB34" s="19" t="b">
        <f>Calc_Helper!C34</f>
        <v>0</v>
      </c>
      <c r="AC34" s="2">
        <f>IF(Calc_Helper!C34=TRUE(),1,0)</f>
        <v>0</v>
      </c>
      <c r="AD34" s="19" t="b">
        <f ca="1">Calc_Helper!D34</f>
        <v>0</v>
      </c>
      <c r="AE34" s="2">
        <f ca="1">IF(Calc_Helper!D34=TRUE(),1,0)</f>
        <v>0</v>
      </c>
      <c r="AF34" s="19" t="b">
        <f ca="1">Calc_Helper!O34</f>
        <v>0</v>
      </c>
      <c r="AG34" s="2">
        <f ca="1">IF(Calc_Helper!O34=TRUE(),1,0)</f>
        <v>0</v>
      </c>
      <c r="AH34" s="19" t="b">
        <f>Calc_Helper!P34</f>
        <v>0</v>
      </c>
      <c r="AI34" s="2">
        <f>IF(Calc_Helper!P34=TRUE(),1,0)</f>
        <v>0</v>
      </c>
      <c r="AJ34" s="19" t="b">
        <f ca="1">Calc_Helper!Q34</f>
        <v>0</v>
      </c>
      <c r="AK34" s="2">
        <f ca="1">IF(Calc_Helper!Q34=TRUE(),1,0)</f>
        <v>0</v>
      </c>
      <c r="AL34" s="19" t="b">
        <f ca="1">Calc_Helper!R34</f>
        <v>0</v>
      </c>
      <c r="AM34" s="2">
        <f ca="1">IF(Calc_Helper!R34=TRUE(),1,0)</f>
        <v>0</v>
      </c>
      <c r="AN34" s="2" t="str">
        <f>IF(Calc_Helper!S34="","Unknown",Calc_Helper!S34)</f>
        <v>Healthy</v>
      </c>
      <c r="AO34" s="2">
        <f>IF(OR(Calc_Helper!S34="Healthy",Calc_Helper!S34="On Track"),1,0)</f>
        <v>1</v>
      </c>
      <c r="AP34" s="19" t="b">
        <f>IFERROR(IF(Calc_Helper!T34="","",Calc_Helper!T34),"")</f>
        <v>0</v>
      </c>
      <c r="AQ34" s="2">
        <f>IF(Calc_Helper!T34=TRUE(),1,0)</f>
        <v>0</v>
      </c>
    </row>
    <row r="35" spans="1:43" x14ac:dyDescent="0.3">
      <c r="A35" s="5" t="str">
        <f>IF(Clean_Data!A35="","Unknown",Clean_Data!A35)</f>
        <v>TSK-0034</v>
      </c>
      <c r="B35" s="5" t="str">
        <f>IF(Clean_Data!B35="","Unknown",Clean_Data!B35)</f>
        <v>Marketing Campaign</v>
      </c>
      <c r="C35" s="5" t="str">
        <f>IF(Clean_Data!C35="","Unknown",Clean_Data!C35)</f>
        <v>Marketing</v>
      </c>
      <c r="D35" s="5" t="str">
        <f>IF(Clean_Data!D35="","Unknown",Clean_Data!D35)</f>
        <v>Amit Verma</v>
      </c>
      <c r="E35" s="5" t="str">
        <f>IF(Clean_Data!E35="","Unknown",Clean_Data!E35)</f>
        <v>Analyst</v>
      </c>
      <c r="F35" s="5" t="str">
        <f>IF(Clean_Data!F35="","Unknown",Clean_Data!F35)</f>
        <v>Critical</v>
      </c>
      <c r="G35" s="5" t="str">
        <f>IF(Clean_Data!G35="","Unknown",Clean_Data!G35)</f>
        <v>Testing</v>
      </c>
      <c r="H35" s="5" t="str">
        <f>IF(Clean_Data!K35="","Unknown",Clean_Data!K35)</f>
        <v>In Progress</v>
      </c>
      <c r="I35" s="13">
        <f>Clean_Data!H35</f>
        <v>45694</v>
      </c>
      <c r="J35" s="13">
        <f>Clean_Data!I35</f>
        <v>45726</v>
      </c>
      <c r="K35" s="13" t="str">
        <f>Clean_Data!J35</f>
        <v/>
      </c>
      <c r="L35" s="5" t="str">
        <f>IF(Calc_Helper!I35="","Unknown",Calc_Helper!I35)</f>
        <v>2025-03</v>
      </c>
      <c r="M35" s="5" t="str">
        <f>IF(Calc_Helper!J35="","Unknown",Calc_Helper!J35)</f>
        <v>2025-02</v>
      </c>
      <c r="N35" s="19" t="str">
        <f>IF(Calc_Helper!K35="","",Calc_Helper!K35)</f>
        <v/>
      </c>
      <c r="O35" s="5">
        <f>IFERROR(Calc_Helper!L35,"")</f>
        <v>2025</v>
      </c>
      <c r="P35" s="5">
        <f>IFERROR(Calc_Helper!M35,"")</f>
        <v>2</v>
      </c>
      <c r="Q35" s="5" t="str">
        <f>IF(Calc_Helper!N35="","Unknown",Calc_Helper!N35)</f>
        <v>February</v>
      </c>
      <c r="R35" s="17">
        <f>IFERROR(IF(ISNUMBER(Clean_Data!L35),Clean_Data!L35,0),0)</f>
        <v>0</v>
      </c>
      <c r="S35" s="18">
        <f>IFERROR(IF(ISNUMBER(Clean_Data!M35),Clean_Data!M35,0),0)</f>
        <v>7.8</v>
      </c>
      <c r="T35" s="16" t="str">
        <f>IF(Clean_Data!N35="","",IFERROR(IF(ISNUMBER(Clean_Data!N35),Clean_Data!N35,""),""))</f>
        <v/>
      </c>
      <c r="U35" s="18">
        <f>IFERROR(IF(ISNUMBER(Clean_Data!O35),Clean_Data!O35,0),0)</f>
        <v>0</v>
      </c>
      <c r="V35" s="5">
        <f ca="1">IFERROR(IF(ISNUMBER(Calc_Helper!E35),Calc_Helper!E35,0),0)</f>
        <v>432</v>
      </c>
      <c r="W35" s="5">
        <f ca="1">IFERROR(IF(ISNUMBER(Calc_Helper!F35),Calc_Helper!F35,0),0)</f>
        <v>400</v>
      </c>
      <c r="X35" s="5">
        <f>IFERROR(IF(ISNUMBER(Calc_Helper!G35),Calc_Helper!G35,0),0)</f>
        <v>0</v>
      </c>
      <c r="Y35" s="5">
        <f ca="1">IFERROR(IF(ISNUMBER(Calc_Helper!H35),Calc_Helper!H35,0),0)</f>
        <v>432</v>
      </c>
      <c r="Z35" s="20" t="b">
        <f>Calc_Helper!B35</f>
        <v>0</v>
      </c>
      <c r="AA35" s="5">
        <f>IF(Calc_Helper!B35=TRUE(),1,0)</f>
        <v>0</v>
      </c>
      <c r="AB35" s="20" t="b">
        <f>Calc_Helper!C35</f>
        <v>1</v>
      </c>
      <c r="AC35" s="5">
        <f>IF(Calc_Helper!C35=TRUE(),1,0)</f>
        <v>1</v>
      </c>
      <c r="AD35" s="20" t="b">
        <f ca="1">Calc_Helper!D35</f>
        <v>1</v>
      </c>
      <c r="AE35" s="5">
        <f ca="1">IF(Calc_Helper!D35=TRUE(),1,0)</f>
        <v>1</v>
      </c>
      <c r="AF35" s="20" t="b">
        <f ca="1">Calc_Helper!O35</f>
        <v>1</v>
      </c>
      <c r="AG35" s="5">
        <f ca="1">IF(Calc_Helper!O35=TRUE(),1,0)</f>
        <v>1</v>
      </c>
      <c r="AH35" s="20" t="b">
        <f>Calc_Helper!P35</f>
        <v>1</v>
      </c>
      <c r="AI35" s="5">
        <f>IF(Calc_Helper!P35=TRUE(),1,0)</f>
        <v>1</v>
      </c>
      <c r="AJ35" s="20" t="b">
        <f ca="1">Calc_Helper!Q35</f>
        <v>1</v>
      </c>
      <c r="AK35" s="5">
        <f ca="1">IF(Calc_Helper!Q35=TRUE(),1,0)</f>
        <v>1</v>
      </c>
      <c r="AL35" s="20" t="b">
        <f ca="1">Calc_Helper!R35</f>
        <v>1</v>
      </c>
      <c r="AM35" s="5">
        <f ca="1">IF(Calc_Helper!R35=TRUE(),1,0)</f>
        <v>1</v>
      </c>
      <c r="AN35" s="5" t="str">
        <f>IF(Calc_Helper!S35="","Unknown",Calc_Helper!S35)</f>
        <v>N/A</v>
      </c>
      <c r="AO35" s="5">
        <f>IF(OR(Calc_Helper!S35="Healthy",Calc_Helper!S35="On Track"),1,0)</f>
        <v>0</v>
      </c>
      <c r="AP35" s="5" t="str">
        <f>IFERROR(IF(Calc_Helper!T35="","",Calc_Helper!T35),"")</f>
        <v/>
      </c>
      <c r="AQ35" s="5">
        <f>IF(Calc_Helper!T35=TRUE(),1,0)</f>
        <v>0</v>
      </c>
    </row>
    <row r="36" spans="1:43" x14ac:dyDescent="0.3">
      <c r="A36" s="2" t="str">
        <f>IF(Clean_Data!A36="","Unknown",Clean_Data!A36)</f>
        <v>TSK-0035</v>
      </c>
      <c r="B36" s="2" t="str">
        <f>IF(Clean_Data!B36="","Unknown",Clean_Data!B36)</f>
        <v>Annual Audit</v>
      </c>
      <c r="C36" s="2" t="str">
        <f>IF(Clean_Data!C36="","Unknown",Clean_Data!C36)</f>
        <v>Sales</v>
      </c>
      <c r="D36" s="2" t="str">
        <f>IF(Clean_Data!D36="","Unknown",Clean_Data!D36)</f>
        <v>Rohan Iyer</v>
      </c>
      <c r="E36" s="2" t="str">
        <f>IF(Clean_Data!E36="","Unknown",Clean_Data!E36)</f>
        <v>Lead</v>
      </c>
      <c r="F36" s="2" t="str">
        <f>IF(Clean_Data!F36="","Unknown",Clean_Data!F36)</f>
        <v>Low</v>
      </c>
      <c r="G36" s="2" t="str">
        <f>IF(Clean_Data!G36="","Unknown",Clean_Data!G36)</f>
        <v>Planning</v>
      </c>
      <c r="H36" s="2" t="str">
        <f>IF(Clean_Data!K36="","Unknown",Clean_Data!K36)</f>
        <v>Cancelled</v>
      </c>
      <c r="I36" s="10">
        <f>Clean_Data!H36</f>
        <v>45682</v>
      </c>
      <c r="J36" s="10">
        <f>Clean_Data!I36</f>
        <v>45715</v>
      </c>
      <c r="K36" s="10" t="str">
        <f>Clean_Data!J36</f>
        <v/>
      </c>
      <c r="L36" s="2" t="str">
        <f>IF(Calc_Helper!I36="","Unknown",Calc_Helper!I36)</f>
        <v>2025-02</v>
      </c>
      <c r="M36" s="2" t="str">
        <f>IF(Calc_Helper!J36="","Unknown",Calc_Helper!J36)</f>
        <v>2025-01</v>
      </c>
      <c r="N36" s="19" t="str">
        <f>IF(Calc_Helper!K36="","",Calc_Helper!K36)</f>
        <v/>
      </c>
      <c r="O36" s="2">
        <f>IFERROR(Calc_Helper!L36,"")</f>
        <v>2025</v>
      </c>
      <c r="P36" s="2">
        <f>IFERROR(Calc_Helper!M36,"")</f>
        <v>1</v>
      </c>
      <c r="Q36" s="2" t="str">
        <f>IF(Calc_Helper!N36="","Unknown",Calc_Helper!N36)</f>
        <v>January</v>
      </c>
      <c r="R36" s="15">
        <f>IFERROR(IF(ISNUMBER(Clean_Data!L36),Clean_Data!L36,0),0)</f>
        <v>0</v>
      </c>
      <c r="S36" s="16">
        <f>IFERROR(IF(ISNUMBER(Clean_Data!M36),Clean_Data!M36,0),0)</f>
        <v>67.099999999999994</v>
      </c>
      <c r="T36" s="16" t="str">
        <f>IF(Clean_Data!N36="","",IFERROR(IF(ISNUMBER(Clean_Data!N36),Clean_Data!N36,""),""))</f>
        <v/>
      </c>
      <c r="U36" s="16">
        <f>IFERROR(IF(ISNUMBER(Clean_Data!O36),Clean_Data!O36,0),0)</f>
        <v>0</v>
      </c>
      <c r="V36" s="2">
        <f ca="1">IFERROR(IF(ISNUMBER(Calc_Helper!E36),Calc_Helper!E36,0),0)</f>
        <v>0</v>
      </c>
      <c r="W36" s="2">
        <f ca="1">IFERROR(IF(ISNUMBER(Calc_Helper!F36),Calc_Helper!F36,0),0)</f>
        <v>0</v>
      </c>
      <c r="X36" s="2">
        <f>IFERROR(IF(ISNUMBER(Calc_Helper!G36),Calc_Helper!G36,0),0)</f>
        <v>0</v>
      </c>
      <c r="Y36" s="2">
        <f ca="1">IFERROR(IF(ISNUMBER(Calc_Helper!H36),Calc_Helper!H36,0),0)</f>
        <v>444</v>
      </c>
      <c r="Z36" s="19" t="b">
        <f>Calc_Helper!B36</f>
        <v>0</v>
      </c>
      <c r="AA36" s="2">
        <f>IF(Calc_Helper!B36=TRUE(),1,0)</f>
        <v>0</v>
      </c>
      <c r="AB36" s="19" t="b">
        <f>Calc_Helper!C36</f>
        <v>0</v>
      </c>
      <c r="AC36" s="2">
        <f>IF(Calc_Helper!C36=TRUE(),1,0)</f>
        <v>0</v>
      </c>
      <c r="AD36" s="19" t="b">
        <f ca="1">Calc_Helper!D36</f>
        <v>0</v>
      </c>
      <c r="AE36" s="2">
        <f ca="1">IF(Calc_Helper!D36=TRUE(),1,0)</f>
        <v>0</v>
      </c>
      <c r="AF36" s="19" t="b">
        <f ca="1">Calc_Helper!O36</f>
        <v>0</v>
      </c>
      <c r="AG36" s="2">
        <f ca="1">IF(Calc_Helper!O36=TRUE(),1,0)</f>
        <v>0</v>
      </c>
      <c r="AH36" s="19" t="b">
        <f>Calc_Helper!P36</f>
        <v>0</v>
      </c>
      <c r="AI36" s="2">
        <f>IF(Calc_Helper!P36=TRUE(),1,0)</f>
        <v>0</v>
      </c>
      <c r="AJ36" s="19" t="b">
        <f ca="1">Calc_Helper!Q36</f>
        <v>0</v>
      </c>
      <c r="AK36" s="2">
        <f ca="1">IF(Calc_Helper!Q36=TRUE(),1,0)</f>
        <v>0</v>
      </c>
      <c r="AL36" s="19" t="b">
        <f ca="1">Calc_Helper!R36</f>
        <v>0</v>
      </c>
      <c r="AM36" s="2">
        <f ca="1">IF(Calc_Helper!R36=TRUE(),1,0)</f>
        <v>0</v>
      </c>
      <c r="AN36" s="2" t="str">
        <f>IF(Calc_Helper!S36="","Unknown",Calc_Helper!S36)</f>
        <v>N/A</v>
      </c>
      <c r="AO36" s="2">
        <f>IF(OR(Calc_Helper!S36="Healthy",Calc_Helper!S36="On Track"),1,0)</f>
        <v>0</v>
      </c>
      <c r="AP36" s="2" t="str">
        <f>IFERROR(IF(Calc_Helper!T36="","",Calc_Helper!T36),"")</f>
        <v/>
      </c>
      <c r="AQ36" s="2">
        <f>IF(Calc_Helper!T36=TRUE(),1,0)</f>
        <v>0</v>
      </c>
    </row>
    <row r="37" spans="1:43" x14ac:dyDescent="0.3">
      <c r="A37" s="5" t="str">
        <f>IF(Clean_Data!A37="","Unknown",Clean_Data!A37)</f>
        <v>TSK-0036</v>
      </c>
      <c r="B37" s="5" t="str">
        <f>IF(Clean_Data!B37="","Unknown",Clean_Data!B37)</f>
        <v>Data Analytics Platform</v>
      </c>
      <c r="C37" s="5" t="str">
        <f>IF(Clean_Data!C37="","Unknown",Clean_Data!C37)</f>
        <v>Sales</v>
      </c>
      <c r="D37" s="5" t="str">
        <f>IF(Clean_Data!D37="","Unknown",Clean_Data!D37)</f>
        <v>Vikram Singh</v>
      </c>
      <c r="E37" s="5" t="str">
        <f>IF(Clean_Data!E37="","Unknown",Clean_Data!E37)</f>
        <v>Manager</v>
      </c>
      <c r="F37" s="5" t="str">
        <f>IF(Clean_Data!F37="","Unknown",Clean_Data!F37)</f>
        <v>Critical</v>
      </c>
      <c r="G37" s="5" t="str">
        <f>IF(Clean_Data!G37="","Unknown",Clean_Data!G37)</f>
        <v>Research</v>
      </c>
      <c r="H37" s="5" t="str">
        <f>IF(Clean_Data!K37="","Unknown",Clean_Data!K37)</f>
        <v>Cancelled</v>
      </c>
      <c r="I37" s="13">
        <f>Clean_Data!H37</f>
        <v>45688</v>
      </c>
      <c r="J37" s="13">
        <f>Clean_Data!I37</f>
        <v>45742</v>
      </c>
      <c r="K37" s="13" t="str">
        <f>Clean_Data!J37</f>
        <v/>
      </c>
      <c r="L37" s="5" t="str">
        <f>IF(Calc_Helper!I37="","Unknown",Calc_Helper!I37)</f>
        <v>2025-03</v>
      </c>
      <c r="M37" s="5" t="str">
        <f>IF(Calc_Helper!J37="","Unknown",Calc_Helper!J37)</f>
        <v>2025-01</v>
      </c>
      <c r="N37" s="19" t="str">
        <f>IF(Calc_Helper!K37="","",Calc_Helper!K37)</f>
        <v/>
      </c>
      <c r="O37" s="5">
        <f>IFERROR(Calc_Helper!L37,"")</f>
        <v>2025</v>
      </c>
      <c r="P37" s="5">
        <f>IFERROR(Calc_Helper!M37,"")</f>
        <v>1</v>
      </c>
      <c r="Q37" s="5" t="str">
        <f>IF(Calc_Helper!N37="","Unknown",Calc_Helper!N37)</f>
        <v>January</v>
      </c>
      <c r="R37" s="17">
        <f>IFERROR(IF(ISNUMBER(Clean_Data!L37),Clean_Data!L37,0),0)</f>
        <v>0</v>
      </c>
      <c r="S37" s="18">
        <f>IFERROR(IF(ISNUMBER(Clean_Data!M37),Clean_Data!M37,0),0)</f>
        <v>51.6</v>
      </c>
      <c r="T37" s="16">
        <f>IF(Clean_Data!N37="","",IFERROR(IF(ISNUMBER(Clean_Data!N37),Clean_Data!N37,""),""))</f>
        <v>0</v>
      </c>
      <c r="U37" s="18">
        <f>IFERROR(IF(ISNUMBER(Clean_Data!O37),Clean_Data!O37,0),0)</f>
        <v>-51.6</v>
      </c>
      <c r="V37" s="5">
        <f ca="1">IFERROR(IF(ISNUMBER(Calc_Helper!E37),Calc_Helper!E37,0),0)</f>
        <v>0</v>
      </c>
      <c r="W37" s="5">
        <f ca="1">IFERROR(IF(ISNUMBER(Calc_Helper!F37),Calc_Helper!F37,0),0)</f>
        <v>0</v>
      </c>
      <c r="X37" s="5">
        <f>IFERROR(IF(ISNUMBER(Calc_Helper!G37),Calc_Helper!G37,0),0)</f>
        <v>0</v>
      </c>
      <c r="Y37" s="5">
        <f ca="1">IFERROR(IF(ISNUMBER(Calc_Helper!H37),Calc_Helper!H37,0),0)</f>
        <v>438</v>
      </c>
      <c r="Z37" s="20" t="b">
        <f>Calc_Helper!B37</f>
        <v>0</v>
      </c>
      <c r="AA37" s="5">
        <f>IF(Calc_Helper!B37=TRUE(),1,0)</f>
        <v>0</v>
      </c>
      <c r="AB37" s="20" t="b">
        <f>Calc_Helper!C37</f>
        <v>0</v>
      </c>
      <c r="AC37" s="5">
        <f>IF(Calc_Helper!C37=TRUE(),1,0)</f>
        <v>0</v>
      </c>
      <c r="AD37" s="20" t="b">
        <f ca="1">Calc_Helper!D37</f>
        <v>0</v>
      </c>
      <c r="AE37" s="5">
        <f ca="1">IF(Calc_Helper!D37=TRUE(),1,0)</f>
        <v>0</v>
      </c>
      <c r="AF37" s="20" t="b">
        <f ca="1">Calc_Helper!O37</f>
        <v>0</v>
      </c>
      <c r="AG37" s="5">
        <f ca="1">IF(Calc_Helper!O37=TRUE(),1,0)</f>
        <v>0</v>
      </c>
      <c r="AH37" s="20" t="b">
        <f>Calc_Helper!P37</f>
        <v>0</v>
      </c>
      <c r="AI37" s="5">
        <f>IF(Calc_Helper!P37=TRUE(),1,0)</f>
        <v>0</v>
      </c>
      <c r="AJ37" s="20" t="b">
        <f ca="1">Calc_Helper!Q37</f>
        <v>0</v>
      </c>
      <c r="AK37" s="5">
        <f ca="1">IF(Calc_Helper!Q37=TRUE(),1,0)</f>
        <v>0</v>
      </c>
      <c r="AL37" s="20" t="b">
        <f ca="1">Calc_Helper!R37</f>
        <v>0</v>
      </c>
      <c r="AM37" s="5">
        <f ca="1">IF(Calc_Helper!R37=TRUE(),1,0)</f>
        <v>0</v>
      </c>
      <c r="AN37" s="5" t="str">
        <f>IF(Calc_Helper!S37="","Unknown",Calc_Helper!S37)</f>
        <v>N/A</v>
      </c>
      <c r="AO37" s="5">
        <f>IF(OR(Calc_Helper!S37="Healthy",Calc_Helper!S37="On Track"),1,0)</f>
        <v>0</v>
      </c>
      <c r="AP37" s="5" t="str">
        <f>IFERROR(IF(Calc_Helper!T37="","",Calc_Helper!T37),"")</f>
        <v/>
      </c>
      <c r="AQ37" s="5">
        <f>IF(Calc_Helper!T37=TRUE(),1,0)</f>
        <v>0</v>
      </c>
    </row>
    <row r="38" spans="1:43" x14ac:dyDescent="0.3">
      <c r="A38" s="2" t="str">
        <f>IF(Clean_Data!A38="","Unknown",Clean_Data!A38)</f>
        <v>TSK-0037</v>
      </c>
      <c r="B38" s="2" t="str">
        <f>IF(Clean_Data!B38="","Unknown",Clean_Data!B38)</f>
        <v>Employee Onboarding</v>
      </c>
      <c r="C38" s="2" t="str">
        <f>IF(Clean_Data!C38="","Unknown",Clean_Data!C38)</f>
        <v>Marketing</v>
      </c>
      <c r="D38" s="2" t="str">
        <f>IF(Clean_Data!D38="","Unknown",Clean_Data!D38)</f>
        <v>Vikram Singh</v>
      </c>
      <c r="E38" s="2" t="str">
        <f>IF(Clean_Data!E38="","Unknown",Clean_Data!E38)</f>
        <v>Designer</v>
      </c>
      <c r="F38" s="2" t="str">
        <f>IF(Clean_Data!F38="","Unknown",Clean_Data!F38)</f>
        <v>Medium</v>
      </c>
      <c r="G38" s="2" t="str">
        <f>IF(Clean_Data!G38="","Unknown",Clean_Data!G38)</f>
        <v>Development</v>
      </c>
      <c r="H38" s="2" t="str">
        <f>IF(Clean_Data!K38="","Unknown",Clean_Data!K38)</f>
        <v>In Progress</v>
      </c>
      <c r="I38" s="10">
        <f>Clean_Data!H38</f>
        <v>45366</v>
      </c>
      <c r="J38" s="10">
        <f>Clean_Data!I38</f>
        <v>45380</v>
      </c>
      <c r="K38" s="10" t="str">
        <f>Clean_Data!J38</f>
        <v/>
      </c>
      <c r="L38" s="2" t="str">
        <f>IF(Calc_Helper!I38="","Unknown",Calc_Helper!I38)</f>
        <v>2024-03</v>
      </c>
      <c r="M38" s="2" t="str">
        <f>IF(Calc_Helper!J38="","Unknown",Calc_Helper!J38)</f>
        <v>2024-03</v>
      </c>
      <c r="N38" s="19" t="str">
        <f>IF(Calc_Helper!K38="","",Calc_Helper!K38)</f>
        <v/>
      </c>
      <c r="O38" s="2">
        <f>IFERROR(Calc_Helper!L38,"")</f>
        <v>2024</v>
      </c>
      <c r="P38" s="2">
        <f>IFERROR(Calc_Helper!M38,"")</f>
        <v>3</v>
      </c>
      <c r="Q38" s="2" t="str">
        <f>IF(Calc_Helper!N38="","Unknown",Calc_Helper!N38)</f>
        <v>March</v>
      </c>
      <c r="R38" s="15">
        <f>IFERROR(IF(ISNUMBER(Clean_Data!L38),Clean_Data!L38,0),0)</f>
        <v>0.64</v>
      </c>
      <c r="S38" s="16">
        <f>IFERROR(IF(ISNUMBER(Clean_Data!M38),Clean_Data!M38,0),0)</f>
        <v>8.9</v>
      </c>
      <c r="T38" s="16">
        <f>IF(Clean_Data!N38="","",IFERROR(IF(ISNUMBER(Clean_Data!N38),Clean_Data!N38,""),""))</f>
        <v>5.3</v>
      </c>
      <c r="U38" s="16">
        <f>IFERROR(IF(ISNUMBER(Clean_Data!O38),Clean_Data!O38,0),0)</f>
        <v>-3.6000000000000005</v>
      </c>
      <c r="V38" s="2">
        <f ca="1">IFERROR(IF(ISNUMBER(Calc_Helper!E38),Calc_Helper!E38,0),0)</f>
        <v>760</v>
      </c>
      <c r="W38" s="2">
        <f ca="1">IFERROR(IF(ISNUMBER(Calc_Helper!F38),Calc_Helper!F38,0),0)</f>
        <v>746</v>
      </c>
      <c r="X38" s="2">
        <f>IFERROR(IF(ISNUMBER(Calc_Helper!G38),Calc_Helper!G38,0),0)</f>
        <v>0</v>
      </c>
      <c r="Y38" s="2">
        <f ca="1">IFERROR(IF(ISNUMBER(Calc_Helper!H38),Calc_Helper!H38,0),0)</f>
        <v>760</v>
      </c>
      <c r="Z38" s="19" t="b">
        <f>Calc_Helper!B38</f>
        <v>0</v>
      </c>
      <c r="AA38" s="2">
        <f>IF(Calc_Helper!B38=TRUE(),1,0)</f>
        <v>0</v>
      </c>
      <c r="AB38" s="19" t="b">
        <f>Calc_Helper!C38</f>
        <v>1</v>
      </c>
      <c r="AC38" s="2">
        <f>IF(Calc_Helper!C38=TRUE(),1,0)</f>
        <v>1</v>
      </c>
      <c r="AD38" s="19" t="b">
        <f ca="1">Calc_Helper!D38</f>
        <v>1</v>
      </c>
      <c r="AE38" s="2">
        <f ca="1">IF(Calc_Helper!D38=TRUE(),1,0)</f>
        <v>1</v>
      </c>
      <c r="AF38" s="19" t="b">
        <f ca="1">Calc_Helper!O38</f>
        <v>1</v>
      </c>
      <c r="AG38" s="2">
        <f ca="1">IF(Calc_Helper!O38=TRUE(),1,0)</f>
        <v>1</v>
      </c>
      <c r="AH38" s="19" t="b">
        <f>Calc_Helper!P38</f>
        <v>0</v>
      </c>
      <c r="AI38" s="2">
        <f>IF(Calc_Helper!P38=TRUE(),1,0)</f>
        <v>0</v>
      </c>
      <c r="AJ38" s="19" t="b">
        <f ca="1">Calc_Helper!Q38</f>
        <v>0</v>
      </c>
      <c r="AK38" s="2">
        <f ca="1">IF(Calc_Helper!Q38=TRUE(),1,0)</f>
        <v>0</v>
      </c>
      <c r="AL38" s="19" t="b">
        <f ca="1">Calc_Helper!R38</f>
        <v>1</v>
      </c>
      <c r="AM38" s="2">
        <f ca="1">IF(Calc_Helper!R38=TRUE(),1,0)</f>
        <v>1</v>
      </c>
      <c r="AN38" s="2" t="str">
        <f>IF(Calc_Helper!S38="","Unknown",Calc_Helper!S38)</f>
        <v>On Track</v>
      </c>
      <c r="AO38" s="2">
        <f>IF(OR(Calc_Helper!S38="Healthy",Calc_Helper!S38="On Track"),1,0)</f>
        <v>1</v>
      </c>
      <c r="AP38" s="2" t="str">
        <f>IFERROR(IF(Calc_Helper!T38="","",Calc_Helper!T38),"")</f>
        <v/>
      </c>
      <c r="AQ38" s="2">
        <f>IF(Calc_Helper!T38=TRUE(),1,0)</f>
        <v>0</v>
      </c>
    </row>
    <row r="39" spans="1:43" x14ac:dyDescent="0.3">
      <c r="A39" s="5" t="str">
        <f>IF(Clean_Data!A39="","Unknown",Clean_Data!A39)</f>
        <v>TSK-0038</v>
      </c>
      <c r="B39" s="5" t="str">
        <f>IF(Clean_Data!B39="","Unknown",Clean_Data!B39)</f>
        <v>Product Launch</v>
      </c>
      <c r="C39" s="5" t="str">
        <f>IF(Clean_Data!C39="","Unknown",Clean_Data!C39)</f>
        <v>Operations</v>
      </c>
      <c r="D39" s="5" t="str">
        <f>IF(Clean_Data!D39="","Unknown",Clean_Data!D39)</f>
        <v>Arjun Mehta</v>
      </c>
      <c r="E39" s="5" t="str">
        <f>IF(Clean_Data!E39="","Unknown",Clean_Data!E39)</f>
        <v>Analyst</v>
      </c>
      <c r="F39" s="5" t="str">
        <f>IF(Clean_Data!F39="","Unknown",Clean_Data!F39)</f>
        <v>Critical</v>
      </c>
      <c r="G39" s="5" t="str">
        <f>IF(Clean_Data!G39="","Unknown",Clean_Data!G39)</f>
        <v>Review</v>
      </c>
      <c r="H39" s="5" t="str">
        <f>IF(Clean_Data!K39="","Unknown",Clean_Data!K39)</f>
        <v>Not Started</v>
      </c>
      <c r="I39" s="13">
        <f>Clean_Data!H39</f>
        <v>45540</v>
      </c>
      <c r="J39" s="13">
        <f>Clean_Data!I39</f>
        <v>45545</v>
      </c>
      <c r="K39" s="13" t="str">
        <f>Clean_Data!J39</f>
        <v/>
      </c>
      <c r="L39" s="5" t="str">
        <f>IF(Calc_Helper!I39="","Unknown",Calc_Helper!I39)</f>
        <v>2024-09</v>
      </c>
      <c r="M39" s="5" t="str">
        <f>IF(Calc_Helper!J39="","Unknown",Calc_Helper!J39)</f>
        <v>2024-09</v>
      </c>
      <c r="N39" s="19" t="str">
        <f>IF(Calc_Helper!K39="","",Calc_Helper!K39)</f>
        <v/>
      </c>
      <c r="O39" s="5">
        <f>IFERROR(Calc_Helper!L39,"")</f>
        <v>2024</v>
      </c>
      <c r="P39" s="5">
        <f>IFERROR(Calc_Helper!M39,"")</f>
        <v>9</v>
      </c>
      <c r="Q39" s="5" t="str">
        <f>IF(Calc_Helper!N39="","Unknown",Calc_Helper!N39)</f>
        <v>September</v>
      </c>
      <c r="R39" s="17">
        <f>IFERROR(IF(ISNUMBER(Clean_Data!L39),Clean_Data!L39,0),0)</f>
        <v>0</v>
      </c>
      <c r="S39" s="18">
        <f>IFERROR(IF(ISNUMBER(Clean_Data!M39),Clean_Data!M39,0),0)</f>
        <v>61.3</v>
      </c>
      <c r="T39" s="16">
        <f>IF(Clean_Data!N39="","",IFERROR(IF(ISNUMBER(Clean_Data!N39),Clean_Data!N39,""),""))</f>
        <v>0</v>
      </c>
      <c r="U39" s="18">
        <f>IFERROR(IF(ISNUMBER(Clean_Data!O39),Clean_Data!O39,0),0)</f>
        <v>-61.3</v>
      </c>
      <c r="V39" s="5">
        <f ca="1">IFERROR(IF(ISNUMBER(Calc_Helper!E39),Calc_Helper!E39,0),0)</f>
        <v>586</v>
      </c>
      <c r="W39" s="5">
        <f ca="1">IFERROR(IF(ISNUMBER(Calc_Helper!F39),Calc_Helper!F39,0),0)</f>
        <v>581</v>
      </c>
      <c r="X39" s="5">
        <f>IFERROR(IF(ISNUMBER(Calc_Helper!G39),Calc_Helper!G39,0),0)</f>
        <v>0</v>
      </c>
      <c r="Y39" s="5">
        <f ca="1">IFERROR(IF(ISNUMBER(Calc_Helper!H39),Calc_Helper!H39,0),0)</f>
        <v>586</v>
      </c>
      <c r="Z39" s="20" t="b">
        <f>Calc_Helper!B39</f>
        <v>0</v>
      </c>
      <c r="AA39" s="5">
        <f>IF(Calc_Helper!B39=TRUE(),1,0)</f>
        <v>0</v>
      </c>
      <c r="AB39" s="20" t="b">
        <f>Calc_Helper!C39</f>
        <v>1</v>
      </c>
      <c r="AC39" s="5">
        <f>IF(Calc_Helper!C39=TRUE(),1,0)</f>
        <v>1</v>
      </c>
      <c r="AD39" s="20" t="b">
        <f ca="1">Calc_Helper!D39</f>
        <v>1</v>
      </c>
      <c r="AE39" s="5">
        <f ca="1">IF(Calc_Helper!D39=TRUE(),1,0)</f>
        <v>1</v>
      </c>
      <c r="AF39" s="20" t="b">
        <f ca="1">Calc_Helper!O39</f>
        <v>1</v>
      </c>
      <c r="AG39" s="5">
        <f ca="1">IF(Calc_Helper!O39=TRUE(),1,0)</f>
        <v>1</v>
      </c>
      <c r="AH39" s="20" t="b">
        <f>Calc_Helper!P39</f>
        <v>1</v>
      </c>
      <c r="AI39" s="5">
        <f>IF(Calc_Helper!P39=TRUE(),1,0)</f>
        <v>1</v>
      </c>
      <c r="AJ39" s="20" t="b">
        <f ca="1">Calc_Helper!Q39</f>
        <v>1</v>
      </c>
      <c r="AK39" s="5">
        <f ca="1">IF(Calc_Helper!Q39=TRUE(),1,0)</f>
        <v>1</v>
      </c>
      <c r="AL39" s="20" t="b">
        <f ca="1">Calc_Helper!R39</f>
        <v>0</v>
      </c>
      <c r="AM39" s="5">
        <f ca="1">IF(Calc_Helper!R39=TRUE(),1,0)</f>
        <v>0</v>
      </c>
      <c r="AN39" s="5" t="str">
        <f>IF(Calc_Helper!S39="","Unknown",Calc_Helper!S39)</f>
        <v>N/A</v>
      </c>
      <c r="AO39" s="5">
        <f>IF(OR(Calc_Helper!S39="Healthy",Calc_Helper!S39="On Track"),1,0)</f>
        <v>0</v>
      </c>
      <c r="AP39" s="5" t="str">
        <f>IFERROR(IF(Calc_Helper!T39="","",Calc_Helper!T39),"")</f>
        <v/>
      </c>
      <c r="AQ39" s="5">
        <f>IF(Calc_Helper!T39=TRUE(),1,0)</f>
        <v>0</v>
      </c>
    </row>
    <row r="40" spans="1:43" x14ac:dyDescent="0.3">
      <c r="A40" s="2" t="str">
        <f>IF(Clean_Data!A40="","Unknown",Clean_Data!A40)</f>
        <v>TSK-0039</v>
      </c>
      <c r="B40" s="2" t="str">
        <f>IF(Clean_Data!B40="","Unknown",Clean_Data!B40)</f>
        <v>Mobile App v2</v>
      </c>
      <c r="C40" s="2" t="str">
        <f>IF(Clean_Data!C40="","Unknown",Clean_Data!C40)</f>
        <v>Marketing</v>
      </c>
      <c r="D40" s="2" t="str">
        <f>IF(Clean_Data!D40="","Unknown",Clean_Data!D40)</f>
        <v>Kavita Rao</v>
      </c>
      <c r="E40" s="2" t="str">
        <f>IF(Clean_Data!E40="","Unknown",Clean_Data!E40)</f>
        <v>Manager</v>
      </c>
      <c r="F40" s="2" t="str">
        <f>IF(Clean_Data!F40="","Unknown",Clean_Data!F40)</f>
        <v>Medium</v>
      </c>
      <c r="G40" s="2" t="str">
        <f>IF(Clean_Data!G40="","Unknown",Clean_Data!G40)</f>
        <v>Documentation</v>
      </c>
      <c r="H40" s="2" t="str">
        <f>IF(Clean_Data!K40="","Unknown",Clean_Data!K40)</f>
        <v>On Hold</v>
      </c>
      <c r="I40" s="10">
        <f>Clean_Data!H40</f>
        <v>45544</v>
      </c>
      <c r="J40" s="10">
        <f>Clean_Data!I40</f>
        <v>45550</v>
      </c>
      <c r="K40" s="10" t="str">
        <f>Clean_Data!J40</f>
        <v/>
      </c>
      <c r="L40" s="2" t="str">
        <f>IF(Calc_Helper!I40="","Unknown",Calc_Helper!I40)</f>
        <v>2024-09</v>
      </c>
      <c r="M40" s="2" t="str">
        <f>IF(Calc_Helper!J40="","Unknown",Calc_Helper!J40)</f>
        <v>2024-09</v>
      </c>
      <c r="N40" s="19" t="str">
        <f>IF(Calc_Helper!K40="","",Calc_Helper!K40)</f>
        <v/>
      </c>
      <c r="O40" s="2">
        <f>IFERROR(Calc_Helper!L40,"")</f>
        <v>2024</v>
      </c>
      <c r="P40" s="2">
        <f>IFERROR(Calc_Helper!M40,"")</f>
        <v>9</v>
      </c>
      <c r="Q40" s="2" t="str">
        <f>IF(Calc_Helper!N40="","Unknown",Calc_Helper!N40)</f>
        <v>September</v>
      </c>
      <c r="R40" s="15">
        <f>IFERROR(IF(ISNUMBER(Clean_Data!L40),Clean_Data!L40,0),0)</f>
        <v>0</v>
      </c>
      <c r="S40" s="16">
        <f>IFERROR(IF(ISNUMBER(Clean_Data!M40),Clean_Data!M40,0),0)</f>
        <v>55.6</v>
      </c>
      <c r="T40" s="16">
        <f>IF(Clean_Data!N40="","",IFERROR(IF(ISNUMBER(Clean_Data!N40),Clean_Data!N40,""),""))</f>
        <v>0</v>
      </c>
      <c r="U40" s="16">
        <f>IFERROR(IF(ISNUMBER(Clean_Data!O40),Clean_Data!O40,0),0)</f>
        <v>-55.6</v>
      </c>
      <c r="V40" s="2">
        <f ca="1">IFERROR(IF(ISNUMBER(Calc_Helper!E40),Calc_Helper!E40,0),0)</f>
        <v>582</v>
      </c>
      <c r="W40" s="2">
        <f ca="1">IFERROR(IF(ISNUMBER(Calc_Helper!F40),Calc_Helper!F40,0),0)</f>
        <v>576</v>
      </c>
      <c r="X40" s="2">
        <f>IFERROR(IF(ISNUMBER(Calc_Helper!G40),Calc_Helper!G40,0),0)</f>
        <v>0</v>
      </c>
      <c r="Y40" s="2">
        <f ca="1">IFERROR(IF(ISNUMBER(Calc_Helper!H40),Calc_Helper!H40,0),0)</f>
        <v>582</v>
      </c>
      <c r="Z40" s="19" t="b">
        <f>Calc_Helper!B40</f>
        <v>0</v>
      </c>
      <c r="AA40" s="2">
        <f>IF(Calc_Helper!B40=TRUE(),1,0)</f>
        <v>0</v>
      </c>
      <c r="AB40" s="19" t="b">
        <f>Calc_Helper!C40</f>
        <v>1</v>
      </c>
      <c r="AC40" s="2">
        <f>IF(Calc_Helper!C40=TRUE(),1,0)</f>
        <v>1</v>
      </c>
      <c r="AD40" s="19" t="b">
        <f ca="1">Calc_Helper!D40</f>
        <v>1</v>
      </c>
      <c r="AE40" s="2">
        <f ca="1">IF(Calc_Helper!D40=TRUE(),1,0)</f>
        <v>1</v>
      </c>
      <c r="AF40" s="19" t="b">
        <f ca="1">Calc_Helper!O40</f>
        <v>1</v>
      </c>
      <c r="AG40" s="2">
        <f ca="1">IF(Calc_Helper!O40=TRUE(),1,0)</f>
        <v>1</v>
      </c>
      <c r="AH40" s="19" t="b">
        <f>Calc_Helper!P40</f>
        <v>0</v>
      </c>
      <c r="AI40" s="2">
        <f>IF(Calc_Helper!P40=TRUE(),1,0)</f>
        <v>0</v>
      </c>
      <c r="AJ40" s="19" t="b">
        <f ca="1">Calc_Helper!Q40</f>
        <v>0</v>
      </c>
      <c r="AK40" s="2">
        <f ca="1">IF(Calc_Helper!Q40=TRUE(),1,0)</f>
        <v>0</v>
      </c>
      <c r="AL40" s="19" t="b">
        <f ca="1">Calc_Helper!R40</f>
        <v>0</v>
      </c>
      <c r="AM40" s="2">
        <f ca="1">IF(Calc_Helper!R40=TRUE(),1,0)</f>
        <v>0</v>
      </c>
      <c r="AN40" s="2" t="str">
        <f>IF(Calc_Helper!S40="","Unknown",Calc_Helper!S40)</f>
        <v>N/A</v>
      </c>
      <c r="AO40" s="2">
        <f>IF(OR(Calc_Helper!S40="Healthy",Calc_Helper!S40="On Track"),1,0)</f>
        <v>0</v>
      </c>
      <c r="AP40" s="2" t="str">
        <f>IFERROR(IF(Calc_Helper!T40="","",Calc_Helper!T40),"")</f>
        <v/>
      </c>
      <c r="AQ40" s="2">
        <f>IF(Calc_Helper!T40=TRUE(),1,0)</f>
        <v>0</v>
      </c>
    </row>
    <row r="41" spans="1:43" x14ac:dyDescent="0.3">
      <c r="A41" s="5" t="str">
        <f>IF(Clean_Data!A41="","Unknown",Clean_Data!A41)</f>
        <v>TSK-0040</v>
      </c>
      <c r="B41" s="5" t="str">
        <f>IF(Clean_Data!B41="","Unknown",Clean_Data!B41)</f>
        <v>Data Analytics Platform</v>
      </c>
      <c r="C41" s="5" t="str">
        <f>IF(Clean_Data!C41="","Unknown",Clean_Data!C41)</f>
        <v>Finance</v>
      </c>
      <c r="D41" s="5" t="str">
        <f>IF(Clean_Data!D41="","Unknown",Clean_Data!D41)</f>
        <v>Ananya Das</v>
      </c>
      <c r="E41" s="5" t="str">
        <f>IF(Clean_Data!E41="","Unknown",Clean_Data!E41)</f>
        <v>Analyst</v>
      </c>
      <c r="F41" s="5" t="str">
        <f>IF(Clean_Data!F41="","Unknown",Clean_Data!F41)</f>
        <v>Critical</v>
      </c>
      <c r="G41" s="5" t="str">
        <f>IF(Clean_Data!G41="","Unknown",Clean_Data!G41)</f>
        <v>Review</v>
      </c>
      <c r="H41" s="5" t="str">
        <f>IF(Clean_Data!K41="","Unknown",Clean_Data!K41)</f>
        <v>Completed</v>
      </c>
      <c r="I41" s="13">
        <f>Clean_Data!H41</f>
        <v>45599</v>
      </c>
      <c r="J41" s="13">
        <f>Clean_Data!I41</f>
        <v>45640</v>
      </c>
      <c r="K41" s="13">
        <f>Clean_Data!J41</f>
        <v>45632</v>
      </c>
      <c r="L41" s="5" t="str">
        <f>IF(Calc_Helper!I41="","Unknown",Calc_Helper!I41)</f>
        <v>2024-12</v>
      </c>
      <c r="M41" s="5" t="str">
        <f>IF(Calc_Helper!J41="","Unknown",Calc_Helper!J41)</f>
        <v>2024-11</v>
      </c>
      <c r="N41" s="19" t="str">
        <f>IF(Calc_Helper!K41="","",Calc_Helper!K41)</f>
        <v>2024-12</v>
      </c>
      <c r="O41" s="5">
        <f>IFERROR(Calc_Helper!L41,"")</f>
        <v>2024</v>
      </c>
      <c r="P41" s="5">
        <f>IFERROR(Calc_Helper!M41,"")</f>
        <v>11</v>
      </c>
      <c r="Q41" s="5" t="str">
        <f>IF(Calc_Helper!N41="","Unknown",Calc_Helper!N41)</f>
        <v>November</v>
      </c>
      <c r="R41" s="17">
        <f>IFERROR(IF(ISNUMBER(Clean_Data!L41),Clean_Data!L41,0),0)</f>
        <v>1</v>
      </c>
      <c r="S41" s="18">
        <f>IFERROR(IF(ISNUMBER(Clean_Data!M41),Clean_Data!M41,0),0)</f>
        <v>14.3</v>
      </c>
      <c r="T41" s="16">
        <f>IF(Clean_Data!N41="","",IFERROR(IF(ISNUMBER(Clean_Data!N41),Clean_Data!N41,""),""))</f>
        <v>17.8</v>
      </c>
      <c r="U41" s="18">
        <f>IFERROR(IF(ISNUMBER(Clean_Data!O41),Clean_Data!O41,0),0)</f>
        <v>3.5</v>
      </c>
      <c r="V41" s="5">
        <f ca="1">IFERROR(IF(ISNUMBER(Calc_Helper!E41),Calc_Helper!E41,0),0)</f>
        <v>0</v>
      </c>
      <c r="W41" s="5">
        <f ca="1">IFERROR(IF(ISNUMBER(Calc_Helper!F41),Calc_Helper!F41,0),0)</f>
        <v>0</v>
      </c>
      <c r="X41" s="5">
        <f>IFERROR(IF(ISNUMBER(Calc_Helper!G41),Calc_Helper!G41,0),0)</f>
        <v>33</v>
      </c>
      <c r="Y41" s="5">
        <f ca="1">IFERROR(IF(ISNUMBER(Calc_Helper!H41),Calc_Helper!H41,0),0)</f>
        <v>33</v>
      </c>
      <c r="Z41" s="20" t="b">
        <f>Calc_Helper!B41</f>
        <v>1</v>
      </c>
      <c r="AA41" s="5">
        <f>IF(Calc_Helper!B41=TRUE(),1,0)</f>
        <v>1</v>
      </c>
      <c r="AB41" s="20" t="b">
        <f>Calc_Helper!C41</f>
        <v>0</v>
      </c>
      <c r="AC41" s="5">
        <f>IF(Calc_Helper!C41=TRUE(),1,0)</f>
        <v>0</v>
      </c>
      <c r="AD41" s="20" t="b">
        <f ca="1">Calc_Helper!D41</f>
        <v>0</v>
      </c>
      <c r="AE41" s="5">
        <f ca="1">IF(Calc_Helper!D41=TRUE(),1,0)</f>
        <v>0</v>
      </c>
      <c r="AF41" s="20" t="b">
        <f ca="1">Calc_Helper!O41</f>
        <v>0</v>
      </c>
      <c r="AG41" s="5">
        <f ca="1">IF(Calc_Helper!O41=TRUE(),1,0)</f>
        <v>0</v>
      </c>
      <c r="AH41" s="20" t="b">
        <f>Calc_Helper!P41</f>
        <v>0</v>
      </c>
      <c r="AI41" s="5">
        <f>IF(Calc_Helper!P41=TRUE(),1,0)</f>
        <v>0</v>
      </c>
      <c r="AJ41" s="20" t="b">
        <f ca="1">Calc_Helper!Q41</f>
        <v>0</v>
      </c>
      <c r="AK41" s="5">
        <f ca="1">IF(Calc_Helper!Q41=TRUE(),1,0)</f>
        <v>0</v>
      </c>
      <c r="AL41" s="20" t="b">
        <f ca="1">Calc_Helper!R41</f>
        <v>0</v>
      </c>
      <c r="AM41" s="5">
        <f ca="1">IF(Calc_Helper!R41=TRUE(),1,0)</f>
        <v>0</v>
      </c>
      <c r="AN41" s="5" t="str">
        <f>IF(Calc_Helper!S41="","Unknown",Calc_Helper!S41)</f>
        <v>Over Budget</v>
      </c>
      <c r="AO41" s="5">
        <f>IF(OR(Calc_Helper!S41="Healthy",Calc_Helper!S41="On Track"),1,0)</f>
        <v>0</v>
      </c>
      <c r="AP41" s="20" t="b">
        <f>IFERROR(IF(Calc_Helper!T41="","",Calc_Helper!T41),"")</f>
        <v>1</v>
      </c>
      <c r="AQ41" s="5">
        <f>IF(Calc_Helper!T41=TRUE(),1,0)</f>
        <v>1</v>
      </c>
    </row>
    <row r="42" spans="1:43" x14ac:dyDescent="0.3">
      <c r="A42" s="2" t="str">
        <f>IF(Clean_Data!A42="","Unknown",Clean_Data!A42)</f>
        <v>TSK-0041</v>
      </c>
      <c r="B42" s="2" t="str">
        <f>IF(Clean_Data!B42="","Unknown",Clean_Data!B42)</f>
        <v>IT Infrastructure</v>
      </c>
      <c r="C42" s="2" t="str">
        <f>IF(Clean_Data!C42="","Unknown",Clean_Data!C42)</f>
        <v>Marketing</v>
      </c>
      <c r="D42" s="2" t="str">
        <f>IF(Clean_Data!D42="","Unknown",Clean_Data!D42)</f>
        <v>Kavita Rao</v>
      </c>
      <c r="E42" s="2" t="str">
        <f>IF(Clean_Data!E42="","Unknown",Clean_Data!E42)</f>
        <v>Designer</v>
      </c>
      <c r="F42" s="2" t="str">
        <f>IF(Clean_Data!F42="","Unknown",Clean_Data!F42)</f>
        <v>Medium</v>
      </c>
      <c r="G42" s="2" t="str">
        <f>IF(Clean_Data!G42="","Unknown",Clean_Data!G42)</f>
        <v>Review</v>
      </c>
      <c r="H42" s="2" t="str">
        <f>IF(Clean_Data!K42="","Unknown",Clean_Data!K42)</f>
        <v>On Hold</v>
      </c>
      <c r="I42" s="10">
        <f>Clean_Data!H42</f>
        <v>45438</v>
      </c>
      <c r="J42" s="10">
        <f>Clean_Data!I42</f>
        <v>45491</v>
      </c>
      <c r="K42" s="10" t="str">
        <f>Clean_Data!J42</f>
        <v/>
      </c>
      <c r="L42" s="2" t="str">
        <f>IF(Calc_Helper!I42="","Unknown",Calc_Helper!I42)</f>
        <v>2024-07</v>
      </c>
      <c r="M42" s="2" t="str">
        <f>IF(Calc_Helper!J42="","Unknown",Calc_Helper!J42)</f>
        <v>2024-05</v>
      </c>
      <c r="N42" s="19" t="str">
        <f>IF(Calc_Helper!K42="","",Calc_Helper!K42)</f>
        <v/>
      </c>
      <c r="O42" s="2">
        <f>IFERROR(Calc_Helper!L42,"")</f>
        <v>2024</v>
      </c>
      <c r="P42" s="2">
        <f>IFERROR(Calc_Helper!M42,"")</f>
        <v>5</v>
      </c>
      <c r="Q42" s="2" t="str">
        <f>IF(Calc_Helper!N42="","Unknown",Calc_Helper!N42)</f>
        <v>May</v>
      </c>
      <c r="R42" s="15">
        <f>IFERROR(IF(ISNUMBER(Clean_Data!L42),Clean_Data!L42,0),0)</f>
        <v>0.21</v>
      </c>
      <c r="S42" s="16">
        <f>IFERROR(IF(ISNUMBER(Clean_Data!M42),Clean_Data!M42,0),0)</f>
        <v>39.700000000000003</v>
      </c>
      <c r="T42" s="16" t="str">
        <f>IF(Clean_Data!N42="","",IFERROR(IF(ISNUMBER(Clean_Data!N42),Clean_Data!N42,""),""))</f>
        <v/>
      </c>
      <c r="U42" s="16">
        <f>IFERROR(IF(ISNUMBER(Clean_Data!O42),Clean_Data!O42,0),0)</f>
        <v>0</v>
      </c>
      <c r="V42" s="2">
        <f ca="1">IFERROR(IF(ISNUMBER(Calc_Helper!E42),Calc_Helper!E42,0),0)</f>
        <v>688</v>
      </c>
      <c r="W42" s="2">
        <f ca="1">IFERROR(IF(ISNUMBER(Calc_Helper!F42),Calc_Helper!F42,0),0)</f>
        <v>635</v>
      </c>
      <c r="X42" s="2">
        <f>IFERROR(IF(ISNUMBER(Calc_Helper!G42),Calc_Helper!G42,0),0)</f>
        <v>0</v>
      </c>
      <c r="Y42" s="2">
        <f ca="1">IFERROR(IF(ISNUMBER(Calc_Helper!H42),Calc_Helper!H42,0),0)</f>
        <v>688</v>
      </c>
      <c r="Z42" s="19" t="b">
        <f>Calc_Helper!B42</f>
        <v>0</v>
      </c>
      <c r="AA42" s="2">
        <f>IF(Calc_Helper!B42=TRUE(),1,0)</f>
        <v>0</v>
      </c>
      <c r="AB42" s="19" t="b">
        <f>Calc_Helper!C42</f>
        <v>1</v>
      </c>
      <c r="AC42" s="2">
        <f>IF(Calc_Helper!C42=TRUE(),1,0)</f>
        <v>1</v>
      </c>
      <c r="AD42" s="19" t="b">
        <f ca="1">Calc_Helper!D42</f>
        <v>1</v>
      </c>
      <c r="AE42" s="2">
        <f ca="1">IF(Calc_Helper!D42=TRUE(),1,0)</f>
        <v>1</v>
      </c>
      <c r="AF42" s="19" t="b">
        <f ca="1">Calc_Helper!O42</f>
        <v>1</v>
      </c>
      <c r="AG42" s="2">
        <f ca="1">IF(Calc_Helper!O42=TRUE(),1,0)</f>
        <v>1</v>
      </c>
      <c r="AH42" s="19" t="b">
        <f>Calc_Helper!P42</f>
        <v>0</v>
      </c>
      <c r="AI42" s="2">
        <f>IF(Calc_Helper!P42=TRUE(),1,0)</f>
        <v>0</v>
      </c>
      <c r="AJ42" s="19" t="b">
        <f ca="1">Calc_Helper!Q42</f>
        <v>0</v>
      </c>
      <c r="AK42" s="2">
        <f ca="1">IF(Calc_Helper!Q42=TRUE(),1,0)</f>
        <v>0</v>
      </c>
      <c r="AL42" s="19" t="b">
        <f ca="1">Calc_Helper!R42</f>
        <v>0</v>
      </c>
      <c r="AM42" s="2">
        <f ca="1">IF(Calc_Helper!R42=TRUE(),1,0)</f>
        <v>0</v>
      </c>
      <c r="AN42" s="2" t="str">
        <f>IF(Calc_Helper!S42="","Unknown",Calc_Helper!S42)</f>
        <v>N/A</v>
      </c>
      <c r="AO42" s="2">
        <f>IF(OR(Calc_Helper!S42="Healthy",Calc_Helper!S42="On Track"),1,0)</f>
        <v>0</v>
      </c>
      <c r="AP42" s="2" t="str">
        <f>IFERROR(IF(Calc_Helper!T42="","",Calc_Helper!T42),"")</f>
        <v/>
      </c>
      <c r="AQ42" s="2">
        <f>IF(Calc_Helper!T42=TRUE(),1,0)</f>
        <v>0</v>
      </c>
    </row>
    <row r="43" spans="1:43" x14ac:dyDescent="0.3">
      <c r="A43" s="5" t="str">
        <f>IF(Clean_Data!A43="","Unknown",Clean_Data!A43)</f>
        <v>TSK-0042</v>
      </c>
      <c r="B43" s="5" t="str">
        <f>IF(Clean_Data!B43="","Unknown",Clean_Data!B43)</f>
        <v>IT Infrastructure</v>
      </c>
      <c r="C43" s="5" t="str">
        <f>IF(Clean_Data!C43="","Unknown",Clean_Data!C43)</f>
        <v>Marketing</v>
      </c>
      <c r="D43" s="5" t="str">
        <f>IF(Clean_Data!D43="","Unknown",Clean_Data!D43)</f>
        <v>Rohan Iyer</v>
      </c>
      <c r="E43" s="5" t="str">
        <f>IF(Clean_Data!E43="","Unknown",Clean_Data!E43)</f>
        <v>Analyst</v>
      </c>
      <c r="F43" s="5" t="str">
        <f>IF(Clean_Data!F43="","Unknown",Clean_Data!F43)</f>
        <v>Critical</v>
      </c>
      <c r="G43" s="5" t="str">
        <f>IF(Clean_Data!G43="","Unknown",Clean_Data!G43)</f>
        <v>Development</v>
      </c>
      <c r="H43" s="5" t="str">
        <f>IF(Clean_Data!K43="","Unknown",Clean_Data!K43)</f>
        <v>In Progress</v>
      </c>
      <c r="I43" s="13">
        <f>Clean_Data!H43</f>
        <v>45682</v>
      </c>
      <c r="J43" s="13">
        <f>Clean_Data!I43</f>
        <v>45688</v>
      </c>
      <c r="K43" s="13" t="str">
        <f>Clean_Data!J43</f>
        <v/>
      </c>
      <c r="L43" s="5" t="str">
        <f>IF(Calc_Helper!I43="","Unknown",Calc_Helper!I43)</f>
        <v>2025-01</v>
      </c>
      <c r="M43" s="5" t="str">
        <f>IF(Calc_Helper!J43="","Unknown",Calc_Helper!J43)</f>
        <v>2025-01</v>
      </c>
      <c r="N43" s="19" t="str">
        <f>IF(Calc_Helper!K43="","",Calc_Helper!K43)</f>
        <v/>
      </c>
      <c r="O43" s="5">
        <f>IFERROR(Calc_Helper!L43,"")</f>
        <v>2025</v>
      </c>
      <c r="P43" s="5">
        <f>IFERROR(Calc_Helper!M43,"")</f>
        <v>1</v>
      </c>
      <c r="Q43" s="5" t="str">
        <f>IF(Calc_Helper!N43="","Unknown",Calc_Helper!N43)</f>
        <v>January</v>
      </c>
      <c r="R43" s="17">
        <f>IFERROR(IF(ISNUMBER(Clean_Data!L43),Clean_Data!L43,0),0)</f>
        <v>0.73</v>
      </c>
      <c r="S43" s="18">
        <f>IFERROR(IF(ISNUMBER(Clean_Data!M43),Clean_Data!M43,0),0)</f>
        <v>22.1</v>
      </c>
      <c r="T43" s="16">
        <f>IF(Clean_Data!N43="","",IFERROR(IF(ISNUMBER(Clean_Data!N43),Clean_Data!N43,""),""))</f>
        <v>4</v>
      </c>
      <c r="U43" s="18">
        <f>IFERROR(IF(ISNUMBER(Clean_Data!O43),Clean_Data!O43,0),0)</f>
        <v>-18.100000000000001</v>
      </c>
      <c r="V43" s="5">
        <f ca="1">IFERROR(IF(ISNUMBER(Calc_Helper!E43),Calc_Helper!E43,0),0)</f>
        <v>444</v>
      </c>
      <c r="W43" s="5">
        <f ca="1">IFERROR(IF(ISNUMBER(Calc_Helper!F43),Calc_Helper!F43,0),0)</f>
        <v>438</v>
      </c>
      <c r="X43" s="5">
        <f>IFERROR(IF(ISNUMBER(Calc_Helper!G43),Calc_Helper!G43,0),0)</f>
        <v>0</v>
      </c>
      <c r="Y43" s="5">
        <f ca="1">IFERROR(IF(ISNUMBER(Calc_Helper!H43),Calc_Helper!H43,0),0)</f>
        <v>444</v>
      </c>
      <c r="Z43" s="20" t="b">
        <f>Calc_Helper!B43</f>
        <v>0</v>
      </c>
      <c r="AA43" s="5">
        <f>IF(Calc_Helper!B43=TRUE(),1,0)</f>
        <v>0</v>
      </c>
      <c r="AB43" s="20" t="b">
        <f>Calc_Helper!C43</f>
        <v>1</v>
      </c>
      <c r="AC43" s="5">
        <f>IF(Calc_Helper!C43=TRUE(),1,0)</f>
        <v>1</v>
      </c>
      <c r="AD43" s="20" t="b">
        <f ca="1">Calc_Helper!D43</f>
        <v>1</v>
      </c>
      <c r="AE43" s="5">
        <f ca="1">IF(Calc_Helper!D43=TRUE(),1,0)</f>
        <v>1</v>
      </c>
      <c r="AF43" s="20" t="b">
        <f ca="1">Calc_Helper!O43</f>
        <v>1</v>
      </c>
      <c r="AG43" s="5">
        <f ca="1">IF(Calc_Helper!O43=TRUE(),1,0)</f>
        <v>1</v>
      </c>
      <c r="AH43" s="20" t="b">
        <f>Calc_Helper!P43</f>
        <v>1</v>
      </c>
      <c r="AI43" s="5">
        <f>IF(Calc_Helper!P43=TRUE(),1,0)</f>
        <v>1</v>
      </c>
      <c r="AJ43" s="20" t="b">
        <f ca="1">Calc_Helper!Q43</f>
        <v>1</v>
      </c>
      <c r="AK43" s="5">
        <f ca="1">IF(Calc_Helper!Q43=TRUE(),1,0)</f>
        <v>1</v>
      </c>
      <c r="AL43" s="20" t="b">
        <f ca="1">Calc_Helper!R43</f>
        <v>1</v>
      </c>
      <c r="AM43" s="5">
        <f ca="1">IF(Calc_Helper!R43=TRUE(),1,0)</f>
        <v>1</v>
      </c>
      <c r="AN43" s="5" t="str">
        <f>IF(Calc_Helper!S43="","Unknown",Calc_Helper!S43)</f>
        <v>On Track</v>
      </c>
      <c r="AO43" s="5">
        <f>IF(OR(Calc_Helper!S43="Healthy",Calc_Helper!S43="On Track"),1,0)</f>
        <v>1</v>
      </c>
      <c r="AP43" s="5" t="str">
        <f>IFERROR(IF(Calc_Helper!T43="","",Calc_Helper!T43),"")</f>
        <v/>
      </c>
      <c r="AQ43" s="5">
        <f>IF(Calc_Helper!T43=TRUE(),1,0)</f>
        <v>0</v>
      </c>
    </row>
    <row r="44" spans="1:43" x14ac:dyDescent="0.3">
      <c r="A44" s="2" t="str">
        <f>IF(Clean_Data!A44="","Unknown",Clean_Data!A44)</f>
        <v>TSK-0043</v>
      </c>
      <c r="B44" s="2" t="str">
        <f>IF(Clean_Data!B44="","Unknown",Clean_Data!B44)</f>
        <v>Employee Onboarding</v>
      </c>
      <c r="C44" s="2" t="str">
        <f>IF(Clean_Data!C44="","Unknown",Clean_Data!C44)</f>
        <v>Operations</v>
      </c>
      <c r="D44" s="2" t="str">
        <f>IF(Clean_Data!D44="","Unknown",Clean_Data!D44)</f>
        <v>Amit Verma</v>
      </c>
      <c r="E44" s="2" t="str">
        <f>IF(Clean_Data!E44="","Unknown",Clean_Data!E44)</f>
        <v>Developer</v>
      </c>
      <c r="F44" s="2" t="str">
        <f>IF(Clean_Data!F44="","Unknown",Clean_Data!F44)</f>
        <v>Critical</v>
      </c>
      <c r="G44" s="2" t="str">
        <f>IF(Clean_Data!G44="","Unknown",Clean_Data!G44)</f>
        <v>Design</v>
      </c>
      <c r="H44" s="2" t="str">
        <f>IF(Clean_Data!K44="","Unknown",Clean_Data!K44)</f>
        <v>Completed</v>
      </c>
      <c r="I44" s="10">
        <f>Clean_Data!H44</f>
        <v>45455</v>
      </c>
      <c r="J44" s="10">
        <f>Clean_Data!I44</f>
        <v>45466</v>
      </c>
      <c r="K44" s="10">
        <f>Clean_Data!J44</f>
        <v>45465</v>
      </c>
      <c r="L44" s="2" t="str">
        <f>IF(Calc_Helper!I44="","Unknown",Calc_Helper!I44)</f>
        <v>2024-06</v>
      </c>
      <c r="M44" s="2" t="str">
        <f>IF(Calc_Helper!J44="","Unknown",Calc_Helper!J44)</f>
        <v>2024-06</v>
      </c>
      <c r="N44" s="19" t="str">
        <f>IF(Calc_Helper!K44="","",Calc_Helper!K44)</f>
        <v>2024-06</v>
      </c>
      <c r="O44" s="2">
        <f>IFERROR(Calc_Helper!L44,"")</f>
        <v>2024</v>
      </c>
      <c r="P44" s="2">
        <f>IFERROR(Calc_Helper!M44,"")</f>
        <v>6</v>
      </c>
      <c r="Q44" s="2" t="str">
        <f>IF(Calc_Helper!N44="","Unknown",Calc_Helper!N44)</f>
        <v>June</v>
      </c>
      <c r="R44" s="15">
        <f>IFERROR(IF(ISNUMBER(Clean_Data!L44),Clean_Data!L44,0),0)</f>
        <v>1</v>
      </c>
      <c r="S44" s="16">
        <f>IFERROR(IF(ISNUMBER(Clean_Data!M44),Clean_Data!M44,0),0)</f>
        <v>55.5</v>
      </c>
      <c r="T44" s="16">
        <f>IF(Clean_Data!N44="","",IFERROR(IF(ISNUMBER(Clean_Data!N44),Clean_Data!N44,""),""))</f>
        <v>78.8</v>
      </c>
      <c r="U44" s="16">
        <f>IFERROR(IF(ISNUMBER(Clean_Data!O44),Clean_Data!O44,0),0)</f>
        <v>23.299999999999997</v>
      </c>
      <c r="V44" s="2">
        <f ca="1">IFERROR(IF(ISNUMBER(Calc_Helper!E44),Calc_Helper!E44,0),0)</f>
        <v>0</v>
      </c>
      <c r="W44" s="2">
        <f ca="1">IFERROR(IF(ISNUMBER(Calc_Helper!F44),Calc_Helper!F44,0),0)</f>
        <v>0</v>
      </c>
      <c r="X44" s="2">
        <f>IFERROR(IF(ISNUMBER(Calc_Helper!G44),Calc_Helper!G44,0),0)</f>
        <v>10</v>
      </c>
      <c r="Y44" s="2">
        <f ca="1">IFERROR(IF(ISNUMBER(Calc_Helper!H44),Calc_Helper!H44,0),0)</f>
        <v>10</v>
      </c>
      <c r="Z44" s="19" t="b">
        <f>Calc_Helper!B44</f>
        <v>1</v>
      </c>
      <c r="AA44" s="2">
        <f>IF(Calc_Helper!B44=TRUE(),1,0)</f>
        <v>1</v>
      </c>
      <c r="AB44" s="19" t="b">
        <f>Calc_Helper!C44</f>
        <v>0</v>
      </c>
      <c r="AC44" s="2">
        <f>IF(Calc_Helper!C44=TRUE(),1,0)</f>
        <v>0</v>
      </c>
      <c r="AD44" s="19" t="b">
        <f ca="1">Calc_Helper!D44</f>
        <v>0</v>
      </c>
      <c r="AE44" s="2">
        <f ca="1">IF(Calc_Helper!D44=TRUE(),1,0)</f>
        <v>0</v>
      </c>
      <c r="AF44" s="19" t="b">
        <f ca="1">Calc_Helper!O44</f>
        <v>0</v>
      </c>
      <c r="AG44" s="2">
        <f ca="1">IF(Calc_Helper!O44=TRUE(),1,0)</f>
        <v>0</v>
      </c>
      <c r="AH44" s="19" t="b">
        <f>Calc_Helper!P44</f>
        <v>0</v>
      </c>
      <c r="AI44" s="2">
        <f>IF(Calc_Helper!P44=TRUE(),1,0)</f>
        <v>0</v>
      </c>
      <c r="AJ44" s="19" t="b">
        <f ca="1">Calc_Helper!Q44</f>
        <v>0</v>
      </c>
      <c r="AK44" s="2">
        <f ca="1">IF(Calc_Helper!Q44=TRUE(),1,0)</f>
        <v>0</v>
      </c>
      <c r="AL44" s="19" t="b">
        <f ca="1">Calc_Helper!R44</f>
        <v>0</v>
      </c>
      <c r="AM44" s="2">
        <f ca="1">IF(Calc_Helper!R44=TRUE(),1,0)</f>
        <v>0</v>
      </c>
      <c r="AN44" s="2" t="str">
        <f>IF(Calc_Helper!S44="","Unknown",Calc_Helper!S44)</f>
        <v>Over Budget</v>
      </c>
      <c r="AO44" s="2">
        <f>IF(OR(Calc_Helper!S44="Healthy",Calc_Helper!S44="On Track"),1,0)</f>
        <v>0</v>
      </c>
      <c r="AP44" s="19" t="b">
        <f>IFERROR(IF(Calc_Helper!T44="","",Calc_Helper!T44),"")</f>
        <v>1</v>
      </c>
      <c r="AQ44" s="2">
        <f>IF(Calc_Helper!T44=TRUE(),1,0)</f>
        <v>1</v>
      </c>
    </row>
    <row r="45" spans="1:43" x14ac:dyDescent="0.3">
      <c r="A45" s="5" t="str">
        <f>IF(Clean_Data!A45="","Unknown",Clean_Data!A45)</f>
        <v>TSK-0044</v>
      </c>
      <c r="B45" s="5" t="str">
        <f>IF(Clean_Data!B45="","Unknown",Clean_Data!B45)</f>
        <v>Mobile App v2</v>
      </c>
      <c r="C45" s="5" t="str">
        <f>IF(Clean_Data!C45="","Unknown",Clean_Data!C45)</f>
        <v>Marketing</v>
      </c>
      <c r="D45" s="5" t="str">
        <f>IF(Clean_Data!D45="","Unknown",Clean_Data!D45)</f>
        <v>Priya Patel</v>
      </c>
      <c r="E45" s="5" t="str">
        <f>IF(Clean_Data!E45="","Unknown",Clean_Data!E45)</f>
        <v>Designer</v>
      </c>
      <c r="F45" s="5" t="str">
        <f>IF(Clean_Data!F45="","Unknown",Clean_Data!F45)</f>
        <v>Critical</v>
      </c>
      <c r="G45" s="5" t="str">
        <f>IF(Clean_Data!G45="","Unknown",Clean_Data!G45)</f>
        <v>Testing</v>
      </c>
      <c r="H45" s="5" t="str">
        <f>IF(Clean_Data!K45="","Unknown",Clean_Data!K45)</f>
        <v>Completed</v>
      </c>
      <c r="I45" s="13">
        <f>Clean_Data!H45</f>
        <v>45585</v>
      </c>
      <c r="J45" s="13">
        <f>Clean_Data!I45</f>
        <v>45640</v>
      </c>
      <c r="K45" s="13">
        <f>Clean_Data!J45</f>
        <v>45641</v>
      </c>
      <c r="L45" s="5" t="str">
        <f>IF(Calc_Helper!I45="","Unknown",Calc_Helper!I45)</f>
        <v>2024-12</v>
      </c>
      <c r="M45" s="5" t="str">
        <f>IF(Calc_Helper!J45="","Unknown",Calc_Helper!J45)</f>
        <v>2024-10</v>
      </c>
      <c r="N45" s="19" t="str">
        <f>IF(Calc_Helper!K45="","",Calc_Helper!K45)</f>
        <v>2024-12</v>
      </c>
      <c r="O45" s="5">
        <f>IFERROR(Calc_Helper!L45,"")</f>
        <v>2024</v>
      </c>
      <c r="P45" s="5">
        <f>IFERROR(Calc_Helper!M45,"")</f>
        <v>10</v>
      </c>
      <c r="Q45" s="5" t="str">
        <f>IF(Calc_Helper!N45="","Unknown",Calc_Helper!N45)</f>
        <v>October</v>
      </c>
      <c r="R45" s="17">
        <f>IFERROR(IF(ISNUMBER(Clean_Data!L45),Clean_Data!L45,0),0)</f>
        <v>1</v>
      </c>
      <c r="S45" s="18">
        <f>IFERROR(IF(ISNUMBER(Clean_Data!M45),Clean_Data!M45,0),0)</f>
        <v>36.6</v>
      </c>
      <c r="T45" s="16">
        <f>IF(Clean_Data!N45="","",IFERROR(IF(ISNUMBER(Clean_Data!N45),Clean_Data!N45,""),""))</f>
        <v>36.4</v>
      </c>
      <c r="U45" s="18">
        <f>IFERROR(IF(ISNUMBER(Clean_Data!O45),Clean_Data!O45,0),0)</f>
        <v>-0.20000000000000284</v>
      </c>
      <c r="V45" s="5">
        <f ca="1">IFERROR(IF(ISNUMBER(Calc_Helper!E45),Calc_Helper!E45,0),0)</f>
        <v>0</v>
      </c>
      <c r="W45" s="5">
        <f ca="1">IFERROR(IF(ISNUMBER(Calc_Helper!F45),Calc_Helper!F45,0),0)</f>
        <v>1</v>
      </c>
      <c r="X45" s="5">
        <f>IFERROR(IF(ISNUMBER(Calc_Helper!G45),Calc_Helper!G45,0),0)</f>
        <v>56</v>
      </c>
      <c r="Y45" s="5">
        <f ca="1">IFERROR(IF(ISNUMBER(Calc_Helper!H45),Calc_Helper!H45,0),0)</f>
        <v>56</v>
      </c>
      <c r="Z45" s="20" t="b">
        <f>Calc_Helper!B45</f>
        <v>1</v>
      </c>
      <c r="AA45" s="5">
        <f>IF(Calc_Helper!B45=TRUE(),1,0)</f>
        <v>1</v>
      </c>
      <c r="AB45" s="20" t="b">
        <f>Calc_Helper!C45</f>
        <v>0</v>
      </c>
      <c r="AC45" s="5">
        <f>IF(Calc_Helper!C45=TRUE(),1,0)</f>
        <v>0</v>
      </c>
      <c r="AD45" s="20" t="b">
        <f ca="1">Calc_Helper!D45</f>
        <v>0</v>
      </c>
      <c r="AE45" s="5">
        <f ca="1">IF(Calc_Helper!D45=TRUE(),1,0)</f>
        <v>0</v>
      </c>
      <c r="AF45" s="20" t="b">
        <f ca="1">Calc_Helper!O45</f>
        <v>0</v>
      </c>
      <c r="AG45" s="5">
        <f ca="1">IF(Calc_Helper!O45=TRUE(),1,0)</f>
        <v>0</v>
      </c>
      <c r="AH45" s="20" t="b">
        <f>Calc_Helper!P45</f>
        <v>0</v>
      </c>
      <c r="AI45" s="5">
        <f>IF(Calc_Helper!P45=TRUE(),1,0)</f>
        <v>0</v>
      </c>
      <c r="AJ45" s="20" t="b">
        <f ca="1">Calc_Helper!Q45</f>
        <v>0</v>
      </c>
      <c r="AK45" s="5">
        <f ca="1">IF(Calc_Helper!Q45=TRUE(),1,0)</f>
        <v>0</v>
      </c>
      <c r="AL45" s="20" t="b">
        <f ca="1">Calc_Helper!R45</f>
        <v>0</v>
      </c>
      <c r="AM45" s="5">
        <f ca="1">IF(Calc_Helper!R45=TRUE(),1,0)</f>
        <v>0</v>
      </c>
      <c r="AN45" s="5" t="str">
        <f>IF(Calc_Helper!S45="","Unknown",Calc_Helper!S45)</f>
        <v>Healthy</v>
      </c>
      <c r="AO45" s="5">
        <f>IF(OR(Calc_Helper!S45="Healthy",Calc_Helper!S45="On Track"),1,0)</f>
        <v>1</v>
      </c>
      <c r="AP45" s="20" t="b">
        <f>IFERROR(IF(Calc_Helper!T45="","",Calc_Helper!T45),"")</f>
        <v>0</v>
      </c>
      <c r="AQ45" s="5">
        <f>IF(Calc_Helper!T45=TRUE(),1,0)</f>
        <v>0</v>
      </c>
    </row>
    <row r="46" spans="1:43" x14ac:dyDescent="0.3">
      <c r="A46" s="2" t="str">
        <f>IF(Clean_Data!A46="","Unknown",Clean_Data!A46)</f>
        <v>TSK-0045</v>
      </c>
      <c r="B46" s="2" t="str">
        <f>IF(Clean_Data!B46="","Unknown",Clean_Data!B46)</f>
        <v>Marketing Campaign</v>
      </c>
      <c r="C46" s="2" t="str">
        <f>IF(Clean_Data!C46="","Unknown",Clean_Data!C46)</f>
        <v>Sales</v>
      </c>
      <c r="D46" s="2" t="str">
        <f>IF(Clean_Data!D46="","Unknown",Clean_Data!D46)</f>
        <v>Priya Patel</v>
      </c>
      <c r="E46" s="2" t="str">
        <f>IF(Clean_Data!E46="","Unknown",Clean_Data!E46)</f>
        <v>Coordinator</v>
      </c>
      <c r="F46" s="2" t="str">
        <f>IF(Clean_Data!F46="","Unknown",Clean_Data!F46)</f>
        <v>Medium</v>
      </c>
      <c r="G46" s="2" t="str">
        <f>IF(Clean_Data!G46="","Unknown",Clean_Data!G46)</f>
        <v>Documentation</v>
      </c>
      <c r="H46" s="2" t="str">
        <f>IF(Clean_Data!K46="","Unknown",Clean_Data!K46)</f>
        <v>On Hold</v>
      </c>
      <c r="I46" s="10">
        <f>Clean_Data!H46</f>
        <v>45658</v>
      </c>
      <c r="J46" s="10">
        <f>Clean_Data!I46</f>
        <v>45672</v>
      </c>
      <c r="K46" s="10" t="str">
        <f>Clean_Data!J46</f>
        <v/>
      </c>
      <c r="L46" s="2" t="str">
        <f>IF(Calc_Helper!I46="","Unknown",Calc_Helper!I46)</f>
        <v>2025-01</v>
      </c>
      <c r="M46" s="2" t="str">
        <f>IF(Calc_Helper!J46="","Unknown",Calc_Helper!J46)</f>
        <v>2025-01</v>
      </c>
      <c r="N46" s="19" t="str">
        <f>IF(Calc_Helper!K46="","",Calc_Helper!K46)</f>
        <v/>
      </c>
      <c r="O46" s="2">
        <f>IFERROR(Calc_Helper!L46,"")</f>
        <v>2025</v>
      </c>
      <c r="P46" s="2">
        <f>IFERROR(Calc_Helper!M46,"")</f>
        <v>1</v>
      </c>
      <c r="Q46" s="2" t="str">
        <f>IF(Calc_Helper!N46="","Unknown",Calc_Helper!N46)</f>
        <v>January</v>
      </c>
      <c r="R46" s="15">
        <f>IFERROR(IF(ISNUMBER(Clean_Data!L46),Clean_Data!L46,0),0)</f>
        <v>0</v>
      </c>
      <c r="S46" s="16">
        <f>IFERROR(IF(ISNUMBER(Clean_Data!M46),Clean_Data!M46,0),0)</f>
        <v>43.7</v>
      </c>
      <c r="T46" s="16" t="str">
        <f>IF(Clean_Data!N46="","",IFERROR(IF(ISNUMBER(Clean_Data!N46),Clean_Data!N46,""),""))</f>
        <v/>
      </c>
      <c r="U46" s="16">
        <f>IFERROR(IF(ISNUMBER(Clean_Data!O46),Clean_Data!O46,0),0)</f>
        <v>0</v>
      </c>
      <c r="V46" s="2">
        <f ca="1">IFERROR(IF(ISNUMBER(Calc_Helper!E46),Calc_Helper!E46,0),0)</f>
        <v>468</v>
      </c>
      <c r="W46" s="2">
        <f ca="1">IFERROR(IF(ISNUMBER(Calc_Helper!F46),Calc_Helper!F46,0),0)</f>
        <v>454</v>
      </c>
      <c r="X46" s="2">
        <f>IFERROR(IF(ISNUMBER(Calc_Helper!G46),Calc_Helper!G46,0),0)</f>
        <v>0</v>
      </c>
      <c r="Y46" s="2">
        <f ca="1">IFERROR(IF(ISNUMBER(Calc_Helper!H46),Calc_Helper!H46,0),0)</f>
        <v>468</v>
      </c>
      <c r="Z46" s="19" t="b">
        <f>Calc_Helper!B46</f>
        <v>0</v>
      </c>
      <c r="AA46" s="2">
        <f>IF(Calc_Helper!B46=TRUE(),1,0)</f>
        <v>0</v>
      </c>
      <c r="AB46" s="19" t="b">
        <f>Calc_Helper!C46</f>
        <v>1</v>
      </c>
      <c r="AC46" s="2">
        <f>IF(Calc_Helper!C46=TRUE(),1,0)</f>
        <v>1</v>
      </c>
      <c r="AD46" s="19" t="b">
        <f ca="1">Calc_Helper!D46</f>
        <v>1</v>
      </c>
      <c r="AE46" s="2">
        <f ca="1">IF(Calc_Helper!D46=TRUE(),1,0)</f>
        <v>1</v>
      </c>
      <c r="AF46" s="19" t="b">
        <f ca="1">Calc_Helper!O46</f>
        <v>1</v>
      </c>
      <c r="AG46" s="2">
        <f ca="1">IF(Calc_Helper!O46=TRUE(),1,0)</f>
        <v>1</v>
      </c>
      <c r="AH46" s="19" t="b">
        <f>Calc_Helper!P46</f>
        <v>0</v>
      </c>
      <c r="AI46" s="2">
        <f>IF(Calc_Helper!P46=TRUE(),1,0)</f>
        <v>0</v>
      </c>
      <c r="AJ46" s="19" t="b">
        <f ca="1">Calc_Helper!Q46</f>
        <v>0</v>
      </c>
      <c r="AK46" s="2">
        <f ca="1">IF(Calc_Helper!Q46=TRUE(),1,0)</f>
        <v>0</v>
      </c>
      <c r="AL46" s="19" t="b">
        <f ca="1">Calc_Helper!R46</f>
        <v>0</v>
      </c>
      <c r="AM46" s="2">
        <f ca="1">IF(Calc_Helper!R46=TRUE(),1,0)</f>
        <v>0</v>
      </c>
      <c r="AN46" s="2" t="str">
        <f>IF(Calc_Helper!S46="","Unknown",Calc_Helper!S46)</f>
        <v>N/A</v>
      </c>
      <c r="AO46" s="2">
        <f>IF(OR(Calc_Helper!S46="Healthy",Calc_Helper!S46="On Track"),1,0)</f>
        <v>0</v>
      </c>
      <c r="AP46" s="2" t="str">
        <f>IFERROR(IF(Calc_Helper!T46="","",Calc_Helper!T46),"")</f>
        <v/>
      </c>
      <c r="AQ46" s="2">
        <f>IF(Calc_Helper!T46=TRUE(),1,0)</f>
        <v>0</v>
      </c>
    </row>
    <row r="47" spans="1:43" x14ac:dyDescent="0.3">
      <c r="A47" s="5" t="str">
        <f>IF(Clean_Data!A47="","Unknown",Clean_Data!A47)</f>
        <v>TSK-0046</v>
      </c>
      <c r="B47" s="5" t="str">
        <f>IF(Clean_Data!B47="","Unknown",Clean_Data!B47)</f>
        <v>Supply Chain Optimization</v>
      </c>
      <c r="C47" s="5" t="str">
        <f>IF(Clean_Data!C47="","Unknown",Clean_Data!C47)</f>
        <v>Sales</v>
      </c>
      <c r="D47" s="5" t="str">
        <f>IF(Clean_Data!D47="","Unknown",Clean_Data!D47)</f>
        <v>Kavita Rao</v>
      </c>
      <c r="E47" s="5" t="str">
        <f>IF(Clean_Data!E47="","Unknown",Clean_Data!E47)</f>
        <v>Coordinator</v>
      </c>
      <c r="F47" s="5" t="str">
        <f>IF(Clean_Data!F47="","Unknown",Clean_Data!F47)</f>
        <v>Critical</v>
      </c>
      <c r="G47" s="5" t="str">
        <f>IF(Clean_Data!G47="","Unknown",Clean_Data!G47)</f>
        <v>Research</v>
      </c>
      <c r="H47" s="5" t="str">
        <f>IF(Clean_Data!K47="","Unknown",Clean_Data!K47)</f>
        <v>In Progress</v>
      </c>
      <c r="I47" s="13">
        <f>Clean_Data!H47</f>
        <v>45461</v>
      </c>
      <c r="J47" s="13">
        <f>Clean_Data!I47</f>
        <v>45520</v>
      </c>
      <c r="K47" s="13" t="str">
        <f>Clean_Data!J47</f>
        <v/>
      </c>
      <c r="L47" s="5" t="str">
        <f>IF(Calc_Helper!I47="","Unknown",Calc_Helper!I47)</f>
        <v>2024-08</v>
      </c>
      <c r="M47" s="5" t="str">
        <f>IF(Calc_Helper!J47="","Unknown",Calc_Helper!J47)</f>
        <v>2024-06</v>
      </c>
      <c r="N47" s="19" t="str">
        <f>IF(Calc_Helper!K47="","",Calc_Helper!K47)</f>
        <v/>
      </c>
      <c r="O47" s="5">
        <f>IFERROR(Calc_Helper!L47,"")</f>
        <v>2024</v>
      </c>
      <c r="P47" s="5">
        <f>IFERROR(Calc_Helper!M47,"")</f>
        <v>6</v>
      </c>
      <c r="Q47" s="5" t="str">
        <f>IF(Calc_Helper!N47="","Unknown",Calc_Helper!N47)</f>
        <v>June</v>
      </c>
      <c r="R47" s="17">
        <f>IFERROR(IF(ISNUMBER(Clean_Data!L47),Clean_Data!L47,0),0)</f>
        <v>0.37</v>
      </c>
      <c r="S47" s="18">
        <f>IFERROR(IF(ISNUMBER(Clean_Data!M47),Clean_Data!M47,0),0)</f>
        <v>61</v>
      </c>
      <c r="T47" s="16">
        <f>IF(Clean_Data!N47="","",IFERROR(IF(ISNUMBER(Clean_Data!N47),Clean_Data!N47,""),""))</f>
        <v>37.299999999999997</v>
      </c>
      <c r="U47" s="18">
        <f>IFERROR(IF(ISNUMBER(Clean_Data!O47),Clean_Data!O47,0),0)</f>
        <v>-23.700000000000003</v>
      </c>
      <c r="V47" s="5">
        <f ca="1">IFERROR(IF(ISNUMBER(Calc_Helper!E47),Calc_Helper!E47,0),0)</f>
        <v>665</v>
      </c>
      <c r="W47" s="5">
        <f ca="1">IFERROR(IF(ISNUMBER(Calc_Helper!F47),Calc_Helper!F47,0),0)</f>
        <v>606</v>
      </c>
      <c r="X47" s="5">
        <f>IFERROR(IF(ISNUMBER(Calc_Helper!G47),Calc_Helper!G47,0),0)</f>
        <v>0</v>
      </c>
      <c r="Y47" s="5">
        <f ca="1">IFERROR(IF(ISNUMBER(Calc_Helper!H47),Calc_Helper!H47,0),0)</f>
        <v>665</v>
      </c>
      <c r="Z47" s="20" t="b">
        <f>Calc_Helper!B47</f>
        <v>0</v>
      </c>
      <c r="AA47" s="5">
        <f>IF(Calc_Helper!B47=TRUE(),1,0)</f>
        <v>0</v>
      </c>
      <c r="AB47" s="20" t="b">
        <f>Calc_Helper!C47</f>
        <v>1</v>
      </c>
      <c r="AC47" s="5">
        <f>IF(Calc_Helper!C47=TRUE(),1,0)</f>
        <v>1</v>
      </c>
      <c r="AD47" s="20" t="b">
        <f ca="1">Calc_Helper!D47</f>
        <v>1</v>
      </c>
      <c r="AE47" s="5">
        <f ca="1">IF(Calc_Helper!D47=TRUE(),1,0)</f>
        <v>1</v>
      </c>
      <c r="AF47" s="20" t="b">
        <f ca="1">Calc_Helper!O47</f>
        <v>1</v>
      </c>
      <c r="AG47" s="5">
        <f ca="1">IF(Calc_Helper!O47=TRUE(),1,0)</f>
        <v>1</v>
      </c>
      <c r="AH47" s="20" t="b">
        <f>Calc_Helper!P47</f>
        <v>1</v>
      </c>
      <c r="AI47" s="5">
        <f>IF(Calc_Helper!P47=TRUE(),1,0)</f>
        <v>1</v>
      </c>
      <c r="AJ47" s="20" t="b">
        <f ca="1">Calc_Helper!Q47</f>
        <v>1</v>
      </c>
      <c r="AK47" s="5">
        <f ca="1">IF(Calc_Helper!Q47=TRUE(),1,0)</f>
        <v>1</v>
      </c>
      <c r="AL47" s="20" t="b">
        <f ca="1">Calc_Helper!R47</f>
        <v>1</v>
      </c>
      <c r="AM47" s="5">
        <f ca="1">IF(Calc_Helper!R47=TRUE(),1,0)</f>
        <v>1</v>
      </c>
      <c r="AN47" s="5" t="str">
        <f>IF(Calc_Helper!S47="","Unknown",Calc_Helper!S47)</f>
        <v>Slow</v>
      </c>
      <c r="AO47" s="5">
        <f>IF(OR(Calc_Helper!S47="Healthy",Calc_Helper!S47="On Track"),1,0)</f>
        <v>0</v>
      </c>
      <c r="AP47" s="5" t="str">
        <f>IFERROR(IF(Calc_Helper!T47="","",Calc_Helper!T47),"")</f>
        <v/>
      </c>
      <c r="AQ47" s="5">
        <f>IF(Calc_Helper!T47=TRUE(),1,0)</f>
        <v>0</v>
      </c>
    </row>
    <row r="48" spans="1:43" x14ac:dyDescent="0.3">
      <c r="A48" s="2" t="str">
        <f>IF(Clean_Data!A48="","Unknown",Clean_Data!A48)</f>
        <v>TSK-0047</v>
      </c>
      <c r="B48" s="2" t="str">
        <f>IF(Clean_Data!B48="","Unknown",Clean_Data!B48)</f>
        <v>Data Analytics Platform</v>
      </c>
      <c r="C48" s="2" t="str">
        <f>IF(Clean_Data!C48="","Unknown",Clean_Data!C48)</f>
        <v>HR</v>
      </c>
      <c r="D48" s="2" t="str">
        <f>IF(Clean_Data!D48="","Unknown",Clean_Data!D48)</f>
        <v>Amit Verma</v>
      </c>
      <c r="E48" s="2" t="str">
        <f>IF(Clean_Data!E48="","Unknown",Clean_Data!E48)</f>
        <v>Lead</v>
      </c>
      <c r="F48" s="2" t="str">
        <f>IF(Clean_Data!F48="","Unknown",Clean_Data!F48)</f>
        <v>High</v>
      </c>
      <c r="G48" s="2" t="str">
        <f>IF(Clean_Data!G48="","Unknown",Clean_Data!G48)</f>
        <v>Review</v>
      </c>
      <c r="H48" s="2" t="str">
        <f>IF(Clean_Data!K48="","Unknown",Clean_Data!K48)</f>
        <v>Not Started</v>
      </c>
      <c r="I48" s="10">
        <f>Clean_Data!H48</f>
        <v>45428</v>
      </c>
      <c r="J48" s="10">
        <f>Clean_Data!I48</f>
        <v>45454</v>
      </c>
      <c r="K48" s="10" t="str">
        <f>Clean_Data!J48</f>
        <v/>
      </c>
      <c r="L48" s="2" t="str">
        <f>IF(Calc_Helper!I48="","Unknown",Calc_Helper!I48)</f>
        <v>2024-06</v>
      </c>
      <c r="M48" s="2" t="str">
        <f>IF(Calc_Helper!J48="","Unknown",Calc_Helper!J48)</f>
        <v>2024-05</v>
      </c>
      <c r="N48" s="19" t="str">
        <f>IF(Calc_Helper!K48="","",Calc_Helper!K48)</f>
        <v/>
      </c>
      <c r="O48" s="2">
        <f>IFERROR(Calc_Helper!L48,"")</f>
        <v>2024</v>
      </c>
      <c r="P48" s="2">
        <f>IFERROR(Calc_Helper!M48,"")</f>
        <v>5</v>
      </c>
      <c r="Q48" s="2" t="str">
        <f>IF(Calc_Helper!N48="","Unknown",Calc_Helper!N48)</f>
        <v>May</v>
      </c>
      <c r="R48" s="15">
        <f>IFERROR(IF(ISNUMBER(Clean_Data!L48),Clean_Data!L48,0),0)</f>
        <v>0</v>
      </c>
      <c r="S48" s="16">
        <f>IFERROR(IF(ISNUMBER(Clean_Data!M48),Clean_Data!M48,0),0)</f>
        <v>57.3</v>
      </c>
      <c r="T48" s="16">
        <f>IF(Clean_Data!N48="","",IFERROR(IF(ISNUMBER(Clean_Data!N48),Clean_Data!N48,""),""))</f>
        <v>0</v>
      </c>
      <c r="U48" s="16">
        <f>IFERROR(IF(ISNUMBER(Clean_Data!O48),Clean_Data!O48,0),0)</f>
        <v>-57.3</v>
      </c>
      <c r="V48" s="2">
        <f ca="1">IFERROR(IF(ISNUMBER(Calc_Helper!E48),Calc_Helper!E48,0),0)</f>
        <v>698</v>
      </c>
      <c r="W48" s="2">
        <f ca="1">IFERROR(IF(ISNUMBER(Calc_Helper!F48),Calc_Helper!F48,0),0)</f>
        <v>672</v>
      </c>
      <c r="X48" s="2">
        <f>IFERROR(IF(ISNUMBER(Calc_Helper!G48),Calc_Helper!G48,0),0)</f>
        <v>0</v>
      </c>
      <c r="Y48" s="2">
        <f ca="1">IFERROR(IF(ISNUMBER(Calc_Helper!H48),Calc_Helper!H48,0),0)</f>
        <v>698</v>
      </c>
      <c r="Z48" s="19" t="b">
        <f>Calc_Helper!B48</f>
        <v>0</v>
      </c>
      <c r="AA48" s="2">
        <f>IF(Calc_Helper!B48=TRUE(),1,0)</f>
        <v>0</v>
      </c>
      <c r="AB48" s="19" t="b">
        <f>Calc_Helper!C48</f>
        <v>1</v>
      </c>
      <c r="AC48" s="2">
        <f>IF(Calc_Helper!C48=TRUE(),1,0)</f>
        <v>1</v>
      </c>
      <c r="AD48" s="19" t="b">
        <f ca="1">Calc_Helper!D48</f>
        <v>1</v>
      </c>
      <c r="AE48" s="2">
        <f ca="1">IF(Calc_Helper!D48=TRUE(),1,0)</f>
        <v>1</v>
      </c>
      <c r="AF48" s="19" t="b">
        <f ca="1">Calc_Helper!O48</f>
        <v>1</v>
      </c>
      <c r="AG48" s="2">
        <f ca="1">IF(Calc_Helper!O48=TRUE(),1,0)</f>
        <v>1</v>
      </c>
      <c r="AH48" s="19" t="b">
        <f>Calc_Helper!P48</f>
        <v>1</v>
      </c>
      <c r="AI48" s="2">
        <f>IF(Calc_Helper!P48=TRUE(),1,0)</f>
        <v>1</v>
      </c>
      <c r="AJ48" s="19" t="b">
        <f ca="1">Calc_Helper!Q48</f>
        <v>1</v>
      </c>
      <c r="AK48" s="2">
        <f ca="1">IF(Calc_Helper!Q48=TRUE(),1,0)</f>
        <v>1</v>
      </c>
      <c r="AL48" s="19" t="b">
        <f ca="1">Calc_Helper!R48</f>
        <v>0</v>
      </c>
      <c r="AM48" s="2">
        <f ca="1">IF(Calc_Helper!R48=TRUE(),1,0)</f>
        <v>0</v>
      </c>
      <c r="AN48" s="2" t="str">
        <f>IF(Calc_Helper!S48="","Unknown",Calc_Helper!S48)</f>
        <v>N/A</v>
      </c>
      <c r="AO48" s="2">
        <f>IF(OR(Calc_Helper!S48="Healthy",Calc_Helper!S48="On Track"),1,0)</f>
        <v>0</v>
      </c>
      <c r="AP48" s="2" t="str">
        <f>IFERROR(IF(Calc_Helper!T48="","",Calc_Helper!T48),"")</f>
        <v/>
      </c>
      <c r="AQ48" s="2">
        <f>IF(Calc_Helper!T48=TRUE(),1,0)</f>
        <v>0</v>
      </c>
    </row>
    <row r="49" spans="1:43" x14ac:dyDescent="0.3">
      <c r="A49" s="5" t="str">
        <f>IF(Clean_Data!A49="","Unknown",Clean_Data!A49)</f>
        <v>TSK-0048</v>
      </c>
      <c r="B49" s="5" t="str">
        <f>IF(Clean_Data!B49="","Unknown",Clean_Data!B49)</f>
        <v>Supply Chain Optimization</v>
      </c>
      <c r="C49" s="5" t="str">
        <f>IF(Clean_Data!C49="","Unknown",Clean_Data!C49)</f>
        <v>Marketing</v>
      </c>
      <c r="D49" s="5" t="str">
        <f>IF(Clean_Data!D49="","Unknown",Clean_Data!D49)</f>
        <v>Priya Patel</v>
      </c>
      <c r="E49" s="5" t="str">
        <f>IF(Clean_Data!E49="","Unknown",Clean_Data!E49)</f>
        <v>Manager</v>
      </c>
      <c r="F49" s="5" t="str">
        <f>IF(Clean_Data!F49="","Unknown",Clean_Data!F49)</f>
        <v>Low</v>
      </c>
      <c r="G49" s="5" t="str">
        <f>IF(Clean_Data!G49="","Unknown",Clean_Data!G49)</f>
        <v>Documentation</v>
      </c>
      <c r="H49" s="5" t="str">
        <f>IF(Clean_Data!K49="","Unknown",Clean_Data!K49)</f>
        <v>In Progress</v>
      </c>
      <c r="I49" s="13">
        <f>Clean_Data!H49</f>
        <v>45546</v>
      </c>
      <c r="J49" s="13">
        <f>Clean_Data!I49</f>
        <v>45586</v>
      </c>
      <c r="K49" s="13" t="str">
        <f>Clean_Data!J49</f>
        <v/>
      </c>
      <c r="L49" s="5" t="str">
        <f>IF(Calc_Helper!I49="","Unknown",Calc_Helper!I49)</f>
        <v>2024-10</v>
      </c>
      <c r="M49" s="5" t="str">
        <f>IF(Calc_Helper!J49="","Unknown",Calc_Helper!J49)</f>
        <v>2024-09</v>
      </c>
      <c r="N49" s="19" t="str">
        <f>IF(Calc_Helper!K49="","",Calc_Helper!K49)</f>
        <v/>
      </c>
      <c r="O49" s="5">
        <f>IFERROR(Calc_Helper!L49,"")</f>
        <v>2024</v>
      </c>
      <c r="P49" s="5">
        <f>IFERROR(Calc_Helper!M49,"")</f>
        <v>9</v>
      </c>
      <c r="Q49" s="5" t="str">
        <f>IF(Calc_Helper!N49="","Unknown",Calc_Helper!N49)</f>
        <v>September</v>
      </c>
      <c r="R49" s="17">
        <f>IFERROR(IF(ISNUMBER(Clean_Data!L49),Clean_Data!L49,0),0)</f>
        <v>0</v>
      </c>
      <c r="S49" s="18">
        <f>IFERROR(IF(ISNUMBER(Clean_Data!M49),Clean_Data!M49,0),0)</f>
        <v>64.3</v>
      </c>
      <c r="T49" s="16" t="str">
        <f>IF(Clean_Data!N49="","",IFERROR(IF(ISNUMBER(Clean_Data!N49),Clean_Data!N49,""),""))</f>
        <v/>
      </c>
      <c r="U49" s="18">
        <f>IFERROR(IF(ISNUMBER(Clean_Data!O49),Clean_Data!O49,0),0)</f>
        <v>0</v>
      </c>
      <c r="V49" s="5">
        <f ca="1">IFERROR(IF(ISNUMBER(Calc_Helper!E49),Calc_Helper!E49,0),0)</f>
        <v>580</v>
      </c>
      <c r="W49" s="5">
        <f ca="1">IFERROR(IF(ISNUMBER(Calc_Helper!F49),Calc_Helper!F49,0),0)</f>
        <v>540</v>
      </c>
      <c r="X49" s="5">
        <f>IFERROR(IF(ISNUMBER(Calc_Helper!G49),Calc_Helper!G49,0),0)</f>
        <v>0</v>
      </c>
      <c r="Y49" s="5">
        <f ca="1">IFERROR(IF(ISNUMBER(Calc_Helper!H49),Calc_Helper!H49,0),0)</f>
        <v>580</v>
      </c>
      <c r="Z49" s="20" t="b">
        <f>Calc_Helper!B49</f>
        <v>0</v>
      </c>
      <c r="AA49" s="5">
        <f>IF(Calc_Helper!B49=TRUE(),1,0)</f>
        <v>0</v>
      </c>
      <c r="AB49" s="20" t="b">
        <f>Calc_Helper!C49</f>
        <v>1</v>
      </c>
      <c r="AC49" s="5">
        <f>IF(Calc_Helper!C49=TRUE(),1,0)</f>
        <v>1</v>
      </c>
      <c r="AD49" s="20" t="b">
        <f ca="1">Calc_Helper!D49</f>
        <v>1</v>
      </c>
      <c r="AE49" s="5">
        <f ca="1">IF(Calc_Helper!D49=TRUE(),1,0)</f>
        <v>1</v>
      </c>
      <c r="AF49" s="20" t="b">
        <f ca="1">Calc_Helper!O49</f>
        <v>1</v>
      </c>
      <c r="AG49" s="5">
        <f ca="1">IF(Calc_Helper!O49=TRUE(),1,0)</f>
        <v>1</v>
      </c>
      <c r="AH49" s="20" t="b">
        <f>Calc_Helper!P49</f>
        <v>0</v>
      </c>
      <c r="AI49" s="5">
        <f>IF(Calc_Helper!P49=TRUE(),1,0)</f>
        <v>0</v>
      </c>
      <c r="AJ49" s="20" t="b">
        <f ca="1">Calc_Helper!Q49</f>
        <v>0</v>
      </c>
      <c r="AK49" s="5">
        <f ca="1">IF(Calc_Helper!Q49=TRUE(),1,0)</f>
        <v>0</v>
      </c>
      <c r="AL49" s="20" t="b">
        <f ca="1">Calc_Helper!R49</f>
        <v>1</v>
      </c>
      <c r="AM49" s="5">
        <f ca="1">IF(Calc_Helper!R49=TRUE(),1,0)</f>
        <v>1</v>
      </c>
      <c r="AN49" s="5" t="str">
        <f>IF(Calc_Helper!S49="","Unknown",Calc_Helper!S49)</f>
        <v>N/A</v>
      </c>
      <c r="AO49" s="5">
        <f>IF(OR(Calc_Helper!S49="Healthy",Calc_Helper!S49="On Track"),1,0)</f>
        <v>0</v>
      </c>
      <c r="AP49" s="5" t="str">
        <f>IFERROR(IF(Calc_Helper!T49="","",Calc_Helper!T49),"")</f>
        <v/>
      </c>
      <c r="AQ49" s="5">
        <f>IF(Calc_Helper!T49=TRUE(),1,0)</f>
        <v>0</v>
      </c>
    </row>
    <row r="50" spans="1:43" x14ac:dyDescent="0.3">
      <c r="A50" s="2" t="str">
        <f>IF(Clean_Data!A50="","Unknown",Clean_Data!A50)</f>
        <v>TSK-0049</v>
      </c>
      <c r="B50" s="2" t="str">
        <f>IF(Clean_Data!B50="","Unknown",Clean_Data!B50)</f>
        <v>Product Launch</v>
      </c>
      <c r="C50" s="2" t="str">
        <f>IF(Clean_Data!C50="","Unknown",Clean_Data!C50)</f>
        <v>HR</v>
      </c>
      <c r="D50" s="2" t="str">
        <f>IF(Clean_Data!D50="","Unknown",Clean_Data!D50)</f>
        <v>Rohan Iyer</v>
      </c>
      <c r="E50" s="2" t="str">
        <f>IF(Clean_Data!E50="","Unknown",Clean_Data!E50)</f>
        <v>Tester</v>
      </c>
      <c r="F50" s="2" t="str">
        <f>IF(Clean_Data!F50="","Unknown",Clean_Data!F50)</f>
        <v>Medium</v>
      </c>
      <c r="G50" s="2" t="str">
        <f>IF(Clean_Data!G50="","Unknown",Clean_Data!G50)</f>
        <v>Deployment</v>
      </c>
      <c r="H50" s="2" t="str">
        <f>IF(Clean_Data!K50="","Unknown",Clean_Data!K50)</f>
        <v>Not Started</v>
      </c>
      <c r="I50" s="10">
        <f>Clean_Data!H50</f>
        <v>45472</v>
      </c>
      <c r="J50" s="10">
        <f>Clean_Data!I50</f>
        <v>45504</v>
      </c>
      <c r="K50" s="10" t="str">
        <f>Clean_Data!J50</f>
        <v/>
      </c>
      <c r="L50" s="2" t="str">
        <f>IF(Calc_Helper!I50="","Unknown",Calc_Helper!I50)</f>
        <v>2024-07</v>
      </c>
      <c r="M50" s="2" t="str">
        <f>IF(Calc_Helper!J50="","Unknown",Calc_Helper!J50)</f>
        <v>2024-06</v>
      </c>
      <c r="N50" s="19" t="str">
        <f>IF(Calc_Helper!K50="","",Calc_Helper!K50)</f>
        <v/>
      </c>
      <c r="O50" s="2">
        <f>IFERROR(Calc_Helper!L50,"")</f>
        <v>2024</v>
      </c>
      <c r="P50" s="2">
        <f>IFERROR(Calc_Helper!M50,"")</f>
        <v>6</v>
      </c>
      <c r="Q50" s="2" t="str">
        <f>IF(Calc_Helper!N50="","Unknown",Calc_Helper!N50)</f>
        <v>June</v>
      </c>
      <c r="R50" s="15">
        <f>IFERROR(IF(ISNUMBER(Clean_Data!L50),Clean_Data!L50,0),0)</f>
        <v>0</v>
      </c>
      <c r="S50" s="16">
        <f>IFERROR(IF(ISNUMBER(Clean_Data!M50),Clean_Data!M50,0),0)</f>
        <v>57.4</v>
      </c>
      <c r="T50" s="16">
        <f>IF(Clean_Data!N50="","",IFERROR(IF(ISNUMBER(Clean_Data!N50),Clean_Data!N50,""),""))</f>
        <v>0</v>
      </c>
      <c r="U50" s="16">
        <f>IFERROR(IF(ISNUMBER(Clean_Data!O50),Clean_Data!O50,0),0)</f>
        <v>-57.4</v>
      </c>
      <c r="V50" s="2">
        <f ca="1">IFERROR(IF(ISNUMBER(Calc_Helper!E50),Calc_Helper!E50,0),0)</f>
        <v>654</v>
      </c>
      <c r="W50" s="2">
        <f ca="1">IFERROR(IF(ISNUMBER(Calc_Helper!F50),Calc_Helper!F50,0),0)</f>
        <v>622</v>
      </c>
      <c r="X50" s="2">
        <f>IFERROR(IF(ISNUMBER(Calc_Helper!G50),Calc_Helper!G50,0),0)</f>
        <v>0</v>
      </c>
      <c r="Y50" s="2">
        <f ca="1">IFERROR(IF(ISNUMBER(Calc_Helper!H50),Calc_Helper!H50,0),0)</f>
        <v>654</v>
      </c>
      <c r="Z50" s="19" t="b">
        <f>Calc_Helper!B50</f>
        <v>0</v>
      </c>
      <c r="AA50" s="2">
        <f>IF(Calc_Helper!B50=TRUE(),1,0)</f>
        <v>0</v>
      </c>
      <c r="AB50" s="19" t="b">
        <f>Calc_Helper!C50</f>
        <v>1</v>
      </c>
      <c r="AC50" s="2">
        <f>IF(Calc_Helper!C50=TRUE(),1,0)</f>
        <v>1</v>
      </c>
      <c r="AD50" s="19" t="b">
        <f ca="1">Calc_Helper!D50</f>
        <v>1</v>
      </c>
      <c r="AE50" s="2">
        <f ca="1">IF(Calc_Helper!D50=TRUE(),1,0)</f>
        <v>1</v>
      </c>
      <c r="AF50" s="19" t="b">
        <f ca="1">Calc_Helper!O50</f>
        <v>1</v>
      </c>
      <c r="AG50" s="2">
        <f ca="1">IF(Calc_Helper!O50=TRUE(),1,0)</f>
        <v>1</v>
      </c>
      <c r="AH50" s="19" t="b">
        <f>Calc_Helper!P50</f>
        <v>0</v>
      </c>
      <c r="AI50" s="2">
        <f>IF(Calc_Helper!P50=TRUE(),1,0)</f>
        <v>0</v>
      </c>
      <c r="AJ50" s="19" t="b">
        <f ca="1">Calc_Helper!Q50</f>
        <v>0</v>
      </c>
      <c r="AK50" s="2">
        <f ca="1">IF(Calc_Helper!Q50=TRUE(),1,0)</f>
        <v>0</v>
      </c>
      <c r="AL50" s="19" t="b">
        <f ca="1">Calc_Helper!R50</f>
        <v>0</v>
      </c>
      <c r="AM50" s="2">
        <f ca="1">IF(Calc_Helper!R50=TRUE(),1,0)</f>
        <v>0</v>
      </c>
      <c r="AN50" s="2" t="str">
        <f>IF(Calc_Helper!S50="","Unknown",Calc_Helper!S50)</f>
        <v>N/A</v>
      </c>
      <c r="AO50" s="2">
        <f>IF(OR(Calc_Helper!S50="Healthy",Calc_Helper!S50="On Track"),1,0)</f>
        <v>0</v>
      </c>
      <c r="AP50" s="2" t="str">
        <f>IFERROR(IF(Calc_Helper!T50="","",Calc_Helper!T50),"")</f>
        <v/>
      </c>
      <c r="AQ50" s="2">
        <f>IF(Calc_Helper!T50=TRUE(),1,0)</f>
        <v>0</v>
      </c>
    </row>
    <row r="51" spans="1:43" x14ac:dyDescent="0.3">
      <c r="A51" s="5" t="str">
        <f>IF(Clean_Data!A51="","Unknown",Clean_Data!A51)</f>
        <v>TSK-0050</v>
      </c>
      <c r="B51" s="5" t="str">
        <f>IF(Clean_Data!B51="","Unknown",Clean_Data!B51)</f>
        <v>Product Launch</v>
      </c>
      <c r="C51" s="5" t="str">
        <f>IF(Clean_Data!C51="","Unknown",Clean_Data!C51)</f>
        <v>Finance</v>
      </c>
      <c r="D51" s="5" t="str">
        <f>IF(Clean_Data!D51="","Unknown",Clean_Data!D51)</f>
        <v>Pooja Reddy</v>
      </c>
      <c r="E51" s="5" t="str">
        <f>IF(Clean_Data!E51="","Unknown",Clean_Data!E51)</f>
        <v>Manager</v>
      </c>
      <c r="F51" s="5" t="str">
        <f>IF(Clean_Data!F51="","Unknown",Clean_Data!F51)</f>
        <v>Medium</v>
      </c>
      <c r="G51" s="5" t="str">
        <f>IF(Clean_Data!G51="","Unknown",Clean_Data!G51)</f>
        <v>Testing</v>
      </c>
      <c r="H51" s="5" t="str">
        <f>IF(Clean_Data!K51="","Unknown",Clean_Data!K51)</f>
        <v>In Progress</v>
      </c>
      <c r="I51" s="13">
        <f>Clean_Data!H51</f>
        <v>45676</v>
      </c>
      <c r="J51" s="13">
        <f>Clean_Data!I51</f>
        <v>45715</v>
      </c>
      <c r="K51" s="13" t="str">
        <f>Clean_Data!J51</f>
        <v/>
      </c>
      <c r="L51" s="5" t="str">
        <f>IF(Calc_Helper!I51="","Unknown",Calc_Helper!I51)</f>
        <v>2025-02</v>
      </c>
      <c r="M51" s="5" t="str">
        <f>IF(Calc_Helper!J51="","Unknown",Calc_Helper!J51)</f>
        <v>2025-01</v>
      </c>
      <c r="N51" s="19" t="str">
        <f>IF(Calc_Helper!K51="","",Calc_Helper!K51)</f>
        <v/>
      </c>
      <c r="O51" s="5">
        <f>IFERROR(Calc_Helper!L51,"")</f>
        <v>2025</v>
      </c>
      <c r="P51" s="5">
        <f>IFERROR(Calc_Helper!M51,"")</f>
        <v>1</v>
      </c>
      <c r="Q51" s="5" t="str">
        <f>IF(Calc_Helper!N51="","Unknown",Calc_Helper!N51)</f>
        <v>January</v>
      </c>
      <c r="R51" s="17">
        <f>IFERROR(IF(ISNUMBER(Clean_Data!L51),Clean_Data!L51,0),0)</f>
        <v>0.6</v>
      </c>
      <c r="S51" s="18">
        <f>IFERROR(IF(ISNUMBER(Clean_Data!M51),Clean_Data!M51,0),0)</f>
        <v>59.1</v>
      </c>
      <c r="T51" s="16">
        <f>IF(Clean_Data!N51="","",IFERROR(IF(ISNUMBER(Clean_Data!N51),Clean_Data!N51,""),""))</f>
        <v>28.9</v>
      </c>
      <c r="U51" s="18">
        <f>IFERROR(IF(ISNUMBER(Clean_Data!O51),Clean_Data!O51,0),0)</f>
        <v>-30.200000000000003</v>
      </c>
      <c r="V51" s="5">
        <f ca="1">IFERROR(IF(ISNUMBER(Calc_Helper!E51),Calc_Helper!E51,0),0)</f>
        <v>450</v>
      </c>
      <c r="W51" s="5">
        <f ca="1">IFERROR(IF(ISNUMBER(Calc_Helper!F51),Calc_Helper!F51,0),0)</f>
        <v>411</v>
      </c>
      <c r="X51" s="5">
        <f>IFERROR(IF(ISNUMBER(Calc_Helper!G51),Calc_Helper!G51,0),0)</f>
        <v>0</v>
      </c>
      <c r="Y51" s="5">
        <f ca="1">IFERROR(IF(ISNUMBER(Calc_Helper!H51),Calc_Helper!H51,0),0)</f>
        <v>450</v>
      </c>
      <c r="Z51" s="20" t="b">
        <f>Calc_Helper!B51</f>
        <v>0</v>
      </c>
      <c r="AA51" s="5">
        <f>IF(Calc_Helper!B51=TRUE(),1,0)</f>
        <v>0</v>
      </c>
      <c r="AB51" s="20" t="b">
        <f>Calc_Helper!C51</f>
        <v>1</v>
      </c>
      <c r="AC51" s="5">
        <f>IF(Calc_Helper!C51=TRUE(),1,0)</f>
        <v>1</v>
      </c>
      <c r="AD51" s="20" t="b">
        <f ca="1">Calc_Helper!D51</f>
        <v>1</v>
      </c>
      <c r="AE51" s="5">
        <f ca="1">IF(Calc_Helper!D51=TRUE(),1,0)</f>
        <v>1</v>
      </c>
      <c r="AF51" s="20" t="b">
        <f ca="1">Calc_Helper!O51</f>
        <v>1</v>
      </c>
      <c r="AG51" s="5">
        <f ca="1">IF(Calc_Helper!O51=TRUE(),1,0)</f>
        <v>1</v>
      </c>
      <c r="AH51" s="20" t="b">
        <f>Calc_Helper!P51</f>
        <v>0</v>
      </c>
      <c r="AI51" s="5">
        <f>IF(Calc_Helper!P51=TRUE(),1,0)</f>
        <v>0</v>
      </c>
      <c r="AJ51" s="20" t="b">
        <f ca="1">Calc_Helper!Q51</f>
        <v>0</v>
      </c>
      <c r="AK51" s="5">
        <f ca="1">IF(Calc_Helper!Q51=TRUE(),1,0)</f>
        <v>0</v>
      </c>
      <c r="AL51" s="20" t="b">
        <f ca="1">Calc_Helper!R51</f>
        <v>1</v>
      </c>
      <c r="AM51" s="5">
        <f ca="1">IF(Calc_Helper!R51=TRUE(),1,0)</f>
        <v>1</v>
      </c>
      <c r="AN51" s="5" t="str">
        <f>IF(Calc_Helper!S51="","Unknown",Calc_Helper!S51)</f>
        <v>On Track</v>
      </c>
      <c r="AO51" s="5">
        <f>IF(OR(Calc_Helper!S51="Healthy",Calc_Helper!S51="On Track"),1,0)</f>
        <v>1</v>
      </c>
      <c r="AP51" s="5" t="str">
        <f>IFERROR(IF(Calc_Helper!T51="","",Calc_Helper!T51),"")</f>
        <v/>
      </c>
      <c r="AQ51" s="5">
        <f>IF(Calc_Helper!T51=TRUE(),1,0)</f>
        <v>0</v>
      </c>
    </row>
    <row r="52" spans="1:43" x14ac:dyDescent="0.3">
      <c r="A52" s="2" t="str">
        <f>IF(Clean_Data!A52="","Unknown",Clean_Data!A52)</f>
        <v>TSK-0051</v>
      </c>
      <c r="B52" s="2" t="str">
        <f>IF(Clean_Data!B52="","Unknown",Clean_Data!B52)</f>
        <v>Product Launch</v>
      </c>
      <c r="C52" s="2" t="str">
        <f>IF(Clean_Data!C52="","Unknown",Clean_Data!C52)</f>
        <v>HR</v>
      </c>
      <c r="D52" s="2" t="str">
        <f>IF(Clean_Data!D52="","Unknown",Clean_Data!D52)</f>
        <v>Sneha Gupta</v>
      </c>
      <c r="E52" s="2" t="str">
        <f>IF(Clean_Data!E52="","Unknown",Clean_Data!E52)</f>
        <v>Tester</v>
      </c>
      <c r="F52" s="2" t="str">
        <f>IF(Clean_Data!F52="","Unknown",Clean_Data!F52)</f>
        <v>High</v>
      </c>
      <c r="G52" s="2" t="str">
        <f>IF(Clean_Data!G52="","Unknown",Clean_Data!G52)</f>
        <v>Planning</v>
      </c>
      <c r="H52" s="2" t="str">
        <f>IF(Clean_Data!K52="","Unknown",Clean_Data!K52)</f>
        <v>In Progress</v>
      </c>
      <c r="I52" s="10">
        <f>Clean_Data!H52</f>
        <v>45303</v>
      </c>
      <c r="J52" s="10">
        <f>Clean_Data!I52</f>
        <v>45353</v>
      </c>
      <c r="K52" s="10" t="str">
        <f>Clean_Data!J52</f>
        <v/>
      </c>
      <c r="L52" s="2" t="str">
        <f>IF(Calc_Helper!I52="","Unknown",Calc_Helper!I52)</f>
        <v>2024-03</v>
      </c>
      <c r="M52" s="2" t="str">
        <f>IF(Calc_Helper!J52="","Unknown",Calc_Helper!J52)</f>
        <v>2024-01</v>
      </c>
      <c r="N52" s="19" t="str">
        <f>IF(Calc_Helper!K52="","",Calc_Helper!K52)</f>
        <v/>
      </c>
      <c r="O52" s="2">
        <f>IFERROR(Calc_Helper!L52,"")</f>
        <v>2024</v>
      </c>
      <c r="P52" s="2">
        <f>IFERROR(Calc_Helper!M52,"")</f>
        <v>1</v>
      </c>
      <c r="Q52" s="2" t="str">
        <f>IF(Calc_Helper!N52="","Unknown",Calc_Helper!N52)</f>
        <v>January</v>
      </c>
      <c r="R52" s="15">
        <f>IFERROR(IF(ISNUMBER(Clean_Data!L52),Clean_Data!L52,0),0)</f>
        <v>0.33</v>
      </c>
      <c r="S52" s="16">
        <f>IFERROR(IF(ISNUMBER(Clean_Data!M52),Clean_Data!M52,0),0)</f>
        <v>57</v>
      </c>
      <c r="T52" s="16" t="str">
        <f>IF(Clean_Data!N52="","",IFERROR(IF(ISNUMBER(Clean_Data!N52),Clean_Data!N52,""),""))</f>
        <v/>
      </c>
      <c r="U52" s="16">
        <f>IFERROR(IF(ISNUMBER(Clean_Data!O52),Clean_Data!O52,0),0)</f>
        <v>0</v>
      </c>
      <c r="V52" s="2">
        <f ca="1">IFERROR(IF(ISNUMBER(Calc_Helper!E52),Calc_Helper!E52,0),0)</f>
        <v>823</v>
      </c>
      <c r="W52" s="2">
        <f ca="1">IFERROR(IF(ISNUMBER(Calc_Helper!F52),Calc_Helper!F52,0),0)</f>
        <v>773</v>
      </c>
      <c r="X52" s="2">
        <f>IFERROR(IF(ISNUMBER(Calc_Helper!G52),Calc_Helper!G52,0),0)</f>
        <v>0</v>
      </c>
      <c r="Y52" s="2">
        <f ca="1">IFERROR(IF(ISNUMBER(Calc_Helper!H52),Calc_Helper!H52,0),0)</f>
        <v>823</v>
      </c>
      <c r="Z52" s="19" t="b">
        <f>Calc_Helper!B52</f>
        <v>0</v>
      </c>
      <c r="AA52" s="2">
        <f>IF(Calc_Helper!B52=TRUE(),1,0)</f>
        <v>0</v>
      </c>
      <c r="AB52" s="19" t="b">
        <f>Calc_Helper!C52</f>
        <v>1</v>
      </c>
      <c r="AC52" s="2">
        <f>IF(Calc_Helper!C52=TRUE(),1,0)</f>
        <v>1</v>
      </c>
      <c r="AD52" s="19" t="b">
        <f ca="1">Calc_Helper!D52</f>
        <v>1</v>
      </c>
      <c r="AE52" s="2">
        <f ca="1">IF(Calc_Helper!D52=TRUE(),1,0)</f>
        <v>1</v>
      </c>
      <c r="AF52" s="19" t="b">
        <f ca="1">Calc_Helper!O52</f>
        <v>1</v>
      </c>
      <c r="AG52" s="2">
        <f ca="1">IF(Calc_Helper!O52=TRUE(),1,0)</f>
        <v>1</v>
      </c>
      <c r="AH52" s="19" t="b">
        <f>Calc_Helper!P52</f>
        <v>1</v>
      </c>
      <c r="AI52" s="2">
        <f>IF(Calc_Helper!P52=TRUE(),1,0)</f>
        <v>1</v>
      </c>
      <c r="AJ52" s="19" t="b">
        <f ca="1">Calc_Helper!Q52</f>
        <v>1</v>
      </c>
      <c r="AK52" s="2">
        <f ca="1">IF(Calc_Helper!Q52=TRUE(),1,0)</f>
        <v>1</v>
      </c>
      <c r="AL52" s="19" t="b">
        <f ca="1">Calc_Helper!R52</f>
        <v>1</v>
      </c>
      <c r="AM52" s="2">
        <f ca="1">IF(Calc_Helper!R52=TRUE(),1,0)</f>
        <v>1</v>
      </c>
      <c r="AN52" s="2" t="str">
        <f>IF(Calc_Helper!S52="","Unknown",Calc_Helper!S52)</f>
        <v>Slow</v>
      </c>
      <c r="AO52" s="2">
        <f>IF(OR(Calc_Helper!S52="Healthy",Calc_Helper!S52="On Track"),1,0)</f>
        <v>0</v>
      </c>
      <c r="AP52" s="2" t="str">
        <f>IFERROR(IF(Calc_Helper!T52="","",Calc_Helper!T52),"")</f>
        <v/>
      </c>
      <c r="AQ52" s="2">
        <f>IF(Calc_Helper!T52=TRUE(),1,0)</f>
        <v>0</v>
      </c>
    </row>
    <row r="53" spans="1:43" x14ac:dyDescent="0.3">
      <c r="A53" s="5" t="str">
        <f>IF(Clean_Data!A53="","Unknown",Clean_Data!A53)</f>
        <v>TSK-0052</v>
      </c>
      <c r="B53" s="5" t="str">
        <f>IF(Clean_Data!B53="","Unknown",Clean_Data!B53)</f>
        <v>CRM Migration</v>
      </c>
      <c r="C53" s="5" t="str">
        <f>IF(Clean_Data!C53="","Unknown",Clean_Data!C53)</f>
        <v>IT</v>
      </c>
      <c r="D53" s="5" t="str">
        <f>IF(Clean_Data!D53="","Unknown",Clean_Data!D53)</f>
        <v>Ananya Das</v>
      </c>
      <c r="E53" s="5" t="str">
        <f>IF(Clean_Data!E53="","Unknown",Clean_Data!E53)</f>
        <v>Designer</v>
      </c>
      <c r="F53" s="5" t="str">
        <f>IF(Clean_Data!F53="","Unknown",Clean_Data!F53)</f>
        <v>Medium</v>
      </c>
      <c r="G53" s="5" t="str">
        <f>IF(Clean_Data!G53="","Unknown",Clean_Data!G53)</f>
        <v>Deployment</v>
      </c>
      <c r="H53" s="5" t="str">
        <f>IF(Clean_Data!K53="","Unknown",Clean_Data!K53)</f>
        <v>In Progress</v>
      </c>
      <c r="I53" s="13">
        <f>Clean_Data!H53</f>
        <v>45521</v>
      </c>
      <c r="J53" s="13">
        <f>Clean_Data!I53</f>
        <v>45547</v>
      </c>
      <c r="K53" s="13" t="str">
        <f>Clean_Data!J53</f>
        <v/>
      </c>
      <c r="L53" s="5" t="str">
        <f>IF(Calc_Helper!I53="","Unknown",Calc_Helper!I53)</f>
        <v>2024-09</v>
      </c>
      <c r="M53" s="5" t="str">
        <f>IF(Calc_Helper!J53="","Unknown",Calc_Helper!J53)</f>
        <v>2024-08</v>
      </c>
      <c r="N53" s="19" t="str">
        <f>IF(Calc_Helper!K53="","",Calc_Helper!K53)</f>
        <v/>
      </c>
      <c r="O53" s="5">
        <f>IFERROR(Calc_Helper!L53,"")</f>
        <v>2024</v>
      </c>
      <c r="P53" s="5">
        <f>IFERROR(Calc_Helper!M53,"")</f>
        <v>8</v>
      </c>
      <c r="Q53" s="5" t="str">
        <f>IF(Calc_Helper!N53="","Unknown",Calc_Helper!N53)</f>
        <v>August</v>
      </c>
      <c r="R53" s="17">
        <f>IFERROR(IF(ISNUMBER(Clean_Data!L53),Clean_Data!L53,0),0)</f>
        <v>0.16</v>
      </c>
      <c r="S53" s="18">
        <f>IFERROR(IF(ISNUMBER(Clean_Data!M53),Clean_Data!M53,0),0)</f>
        <v>66.5</v>
      </c>
      <c r="T53" s="16">
        <f>IF(Clean_Data!N53="","",IFERROR(IF(ISNUMBER(Clean_Data!N53),Clean_Data!N53,""),""))</f>
        <v>6.3</v>
      </c>
      <c r="U53" s="18">
        <f>IFERROR(IF(ISNUMBER(Clean_Data!O53),Clean_Data!O53,0),0)</f>
        <v>-60.2</v>
      </c>
      <c r="V53" s="5">
        <f ca="1">IFERROR(IF(ISNUMBER(Calc_Helper!E53),Calc_Helper!E53,0),0)</f>
        <v>605</v>
      </c>
      <c r="W53" s="5">
        <f ca="1">IFERROR(IF(ISNUMBER(Calc_Helper!F53),Calc_Helper!F53,0),0)</f>
        <v>579</v>
      </c>
      <c r="X53" s="5">
        <f>IFERROR(IF(ISNUMBER(Calc_Helper!G53),Calc_Helper!G53,0),0)</f>
        <v>0</v>
      </c>
      <c r="Y53" s="5">
        <f ca="1">IFERROR(IF(ISNUMBER(Calc_Helper!H53),Calc_Helper!H53,0),0)</f>
        <v>605</v>
      </c>
      <c r="Z53" s="20" t="b">
        <f>Calc_Helper!B53</f>
        <v>0</v>
      </c>
      <c r="AA53" s="5">
        <f>IF(Calc_Helper!B53=TRUE(),1,0)</f>
        <v>0</v>
      </c>
      <c r="AB53" s="20" t="b">
        <f>Calc_Helper!C53</f>
        <v>1</v>
      </c>
      <c r="AC53" s="5">
        <f>IF(Calc_Helper!C53=TRUE(),1,0)</f>
        <v>1</v>
      </c>
      <c r="AD53" s="20" t="b">
        <f ca="1">Calc_Helper!D53</f>
        <v>1</v>
      </c>
      <c r="AE53" s="5">
        <f ca="1">IF(Calc_Helper!D53=TRUE(),1,0)</f>
        <v>1</v>
      </c>
      <c r="AF53" s="20" t="b">
        <f ca="1">Calc_Helper!O53</f>
        <v>1</v>
      </c>
      <c r="AG53" s="5">
        <f ca="1">IF(Calc_Helper!O53=TRUE(),1,0)</f>
        <v>1</v>
      </c>
      <c r="AH53" s="20" t="b">
        <f>Calc_Helper!P53</f>
        <v>0</v>
      </c>
      <c r="AI53" s="5">
        <f>IF(Calc_Helper!P53=TRUE(),1,0)</f>
        <v>0</v>
      </c>
      <c r="AJ53" s="20" t="b">
        <f ca="1">Calc_Helper!Q53</f>
        <v>0</v>
      </c>
      <c r="AK53" s="5">
        <f ca="1">IF(Calc_Helper!Q53=TRUE(),1,0)</f>
        <v>0</v>
      </c>
      <c r="AL53" s="20" t="b">
        <f ca="1">Calc_Helper!R53</f>
        <v>1</v>
      </c>
      <c r="AM53" s="5">
        <f ca="1">IF(Calc_Helper!R53=TRUE(),1,0)</f>
        <v>1</v>
      </c>
      <c r="AN53" s="5" t="str">
        <f>IF(Calc_Helper!S53="","Unknown",Calc_Helper!S53)</f>
        <v>Slow</v>
      </c>
      <c r="AO53" s="5">
        <f>IF(OR(Calc_Helper!S53="Healthy",Calc_Helper!S53="On Track"),1,0)</f>
        <v>0</v>
      </c>
      <c r="AP53" s="5" t="str">
        <f>IFERROR(IF(Calc_Helper!T53="","",Calc_Helper!T53),"")</f>
        <v/>
      </c>
      <c r="AQ53" s="5">
        <f>IF(Calc_Helper!T53=TRUE(),1,0)</f>
        <v>0</v>
      </c>
    </row>
    <row r="54" spans="1:43" x14ac:dyDescent="0.3">
      <c r="A54" s="2" t="str">
        <f>IF(Clean_Data!A54="","Unknown",Clean_Data!A54)</f>
        <v>TSK-0053</v>
      </c>
      <c r="B54" s="2" t="str">
        <f>IF(Clean_Data!B54="","Unknown",Clean_Data!B54)</f>
        <v>Annual Audit</v>
      </c>
      <c r="C54" s="2" t="str">
        <f>IF(Clean_Data!C54="","Unknown",Clean_Data!C54)</f>
        <v>Finance</v>
      </c>
      <c r="D54" s="2" t="str">
        <f>IF(Clean_Data!D54="","Unknown",Clean_Data!D54)</f>
        <v>Sanjay Kulkarni</v>
      </c>
      <c r="E54" s="2" t="str">
        <f>IF(Clean_Data!E54="","Unknown",Clean_Data!E54)</f>
        <v>Designer</v>
      </c>
      <c r="F54" s="2" t="str">
        <f>IF(Clean_Data!F54="","Unknown",Clean_Data!F54)</f>
        <v>High</v>
      </c>
      <c r="G54" s="2" t="str">
        <f>IF(Clean_Data!G54="","Unknown",Clean_Data!G54)</f>
        <v>Research</v>
      </c>
      <c r="H54" s="2" t="str">
        <f>IF(Clean_Data!K54="","Unknown",Clean_Data!K54)</f>
        <v>On Hold</v>
      </c>
      <c r="I54" s="10">
        <f>Clean_Data!H54</f>
        <v>45356</v>
      </c>
      <c r="J54" s="10">
        <f>Clean_Data!I54</f>
        <v>45396</v>
      </c>
      <c r="K54" s="10" t="str">
        <f>Clean_Data!J54</f>
        <v/>
      </c>
      <c r="L54" s="2" t="str">
        <f>IF(Calc_Helper!I54="","Unknown",Calc_Helper!I54)</f>
        <v>2024-04</v>
      </c>
      <c r="M54" s="2" t="str">
        <f>IF(Calc_Helper!J54="","Unknown",Calc_Helper!J54)</f>
        <v>2024-03</v>
      </c>
      <c r="N54" s="19" t="str">
        <f>IF(Calc_Helper!K54="","",Calc_Helper!K54)</f>
        <v/>
      </c>
      <c r="O54" s="2">
        <f>IFERROR(Calc_Helper!L54,"")</f>
        <v>2024</v>
      </c>
      <c r="P54" s="2">
        <f>IFERROR(Calc_Helper!M54,"")</f>
        <v>3</v>
      </c>
      <c r="Q54" s="2" t="str">
        <f>IF(Calc_Helper!N54="","Unknown",Calc_Helper!N54)</f>
        <v>March</v>
      </c>
      <c r="R54" s="15">
        <f>IFERROR(IF(ISNUMBER(Clean_Data!L54),Clean_Data!L54,0),0)</f>
        <v>0</v>
      </c>
      <c r="S54" s="16">
        <f>IFERROR(IF(ISNUMBER(Clean_Data!M54),Clean_Data!M54,0),0)</f>
        <v>32.9</v>
      </c>
      <c r="T54" s="16">
        <f>IF(Clean_Data!N54="","",IFERROR(IF(ISNUMBER(Clean_Data!N54),Clean_Data!N54,""),""))</f>
        <v>0</v>
      </c>
      <c r="U54" s="16">
        <f>IFERROR(IF(ISNUMBER(Clean_Data!O54),Clean_Data!O54,0),0)</f>
        <v>-32.9</v>
      </c>
      <c r="V54" s="2">
        <f ca="1">IFERROR(IF(ISNUMBER(Calc_Helper!E54),Calc_Helper!E54,0),0)</f>
        <v>770</v>
      </c>
      <c r="W54" s="2">
        <f ca="1">IFERROR(IF(ISNUMBER(Calc_Helper!F54),Calc_Helper!F54,0),0)</f>
        <v>730</v>
      </c>
      <c r="X54" s="2">
        <f>IFERROR(IF(ISNUMBER(Calc_Helper!G54),Calc_Helper!G54,0),0)</f>
        <v>0</v>
      </c>
      <c r="Y54" s="2">
        <f ca="1">IFERROR(IF(ISNUMBER(Calc_Helper!H54),Calc_Helper!H54,0),0)</f>
        <v>770</v>
      </c>
      <c r="Z54" s="19" t="b">
        <f>Calc_Helper!B54</f>
        <v>0</v>
      </c>
      <c r="AA54" s="2">
        <f>IF(Calc_Helper!B54=TRUE(),1,0)</f>
        <v>0</v>
      </c>
      <c r="AB54" s="19" t="b">
        <f>Calc_Helper!C54</f>
        <v>1</v>
      </c>
      <c r="AC54" s="2">
        <f>IF(Calc_Helper!C54=TRUE(),1,0)</f>
        <v>1</v>
      </c>
      <c r="AD54" s="19" t="b">
        <f ca="1">Calc_Helper!D54</f>
        <v>1</v>
      </c>
      <c r="AE54" s="2">
        <f ca="1">IF(Calc_Helper!D54=TRUE(),1,0)</f>
        <v>1</v>
      </c>
      <c r="AF54" s="19" t="b">
        <f ca="1">Calc_Helper!O54</f>
        <v>1</v>
      </c>
      <c r="AG54" s="2">
        <f ca="1">IF(Calc_Helper!O54=TRUE(),1,0)</f>
        <v>1</v>
      </c>
      <c r="AH54" s="19" t="b">
        <f>Calc_Helper!P54</f>
        <v>1</v>
      </c>
      <c r="AI54" s="2">
        <f>IF(Calc_Helper!P54=TRUE(),1,0)</f>
        <v>1</v>
      </c>
      <c r="AJ54" s="19" t="b">
        <f ca="1">Calc_Helper!Q54</f>
        <v>1</v>
      </c>
      <c r="AK54" s="2">
        <f ca="1">IF(Calc_Helper!Q54=TRUE(),1,0)</f>
        <v>1</v>
      </c>
      <c r="AL54" s="19" t="b">
        <f ca="1">Calc_Helper!R54</f>
        <v>0</v>
      </c>
      <c r="AM54" s="2">
        <f ca="1">IF(Calc_Helper!R54=TRUE(),1,0)</f>
        <v>0</v>
      </c>
      <c r="AN54" s="2" t="str">
        <f>IF(Calc_Helper!S54="","Unknown",Calc_Helper!S54)</f>
        <v>N/A</v>
      </c>
      <c r="AO54" s="2">
        <f>IF(OR(Calc_Helper!S54="Healthy",Calc_Helper!S54="On Track"),1,0)</f>
        <v>0</v>
      </c>
      <c r="AP54" s="2" t="str">
        <f>IFERROR(IF(Calc_Helper!T54="","",Calc_Helper!T54),"")</f>
        <v/>
      </c>
      <c r="AQ54" s="2">
        <f>IF(Calc_Helper!T54=TRUE(),1,0)</f>
        <v>0</v>
      </c>
    </row>
    <row r="55" spans="1:43" x14ac:dyDescent="0.3">
      <c r="A55" s="5" t="str">
        <f>IF(Clean_Data!A55="","Unknown",Clean_Data!A55)</f>
        <v>TSK-0054</v>
      </c>
      <c r="B55" s="5" t="str">
        <f>IF(Clean_Data!B55="","Unknown",Clean_Data!B55)</f>
        <v>Marketing Campaign</v>
      </c>
      <c r="C55" s="5" t="str">
        <f>IF(Clean_Data!C55="","Unknown",Clean_Data!C55)</f>
        <v>HR</v>
      </c>
      <c r="D55" s="5" t="str">
        <f>IF(Clean_Data!D55="","Unknown",Clean_Data!D55)</f>
        <v>Ananya Das</v>
      </c>
      <c r="E55" s="5" t="str">
        <f>IF(Clean_Data!E55="","Unknown",Clean_Data!E55)</f>
        <v>Analyst</v>
      </c>
      <c r="F55" s="5" t="str">
        <f>IF(Clean_Data!F55="","Unknown",Clean_Data!F55)</f>
        <v>Low</v>
      </c>
      <c r="G55" s="5" t="str">
        <f>IF(Clean_Data!G55="","Unknown",Clean_Data!G55)</f>
        <v>Testing</v>
      </c>
      <c r="H55" s="5" t="str">
        <f>IF(Clean_Data!K55="","Unknown",Clean_Data!K55)</f>
        <v>In Progress</v>
      </c>
      <c r="I55" s="13">
        <f>Clean_Data!H55</f>
        <v>45686</v>
      </c>
      <c r="J55" s="13">
        <f>Clean_Data!I55</f>
        <v>45704</v>
      </c>
      <c r="K55" s="13" t="str">
        <f>Clean_Data!J55</f>
        <v/>
      </c>
      <c r="L55" s="5" t="str">
        <f>IF(Calc_Helper!I55="","Unknown",Calc_Helper!I55)</f>
        <v>2025-02</v>
      </c>
      <c r="M55" s="5" t="str">
        <f>IF(Calc_Helper!J55="","Unknown",Calc_Helper!J55)</f>
        <v>2025-01</v>
      </c>
      <c r="N55" s="19" t="str">
        <f>IF(Calc_Helper!K55="","",Calc_Helper!K55)</f>
        <v/>
      </c>
      <c r="O55" s="5">
        <f>IFERROR(Calc_Helper!L55,"")</f>
        <v>2025</v>
      </c>
      <c r="P55" s="5">
        <f>IFERROR(Calc_Helper!M55,"")</f>
        <v>1</v>
      </c>
      <c r="Q55" s="5" t="str">
        <f>IF(Calc_Helper!N55="","Unknown",Calc_Helper!N55)</f>
        <v>January</v>
      </c>
      <c r="R55" s="17">
        <f>IFERROR(IF(ISNUMBER(Clean_Data!L55),Clean_Data!L55,0),0)</f>
        <v>0.62</v>
      </c>
      <c r="S55" s="18">
        <f>IFERROR(IF(ISNUMBER(Clean_Data!M55),Clean_Data!M55,0),0)</f>
        <v>22.2</v>
      </c>
      <c r="T55" s="16">
        <f>IF(Clean_Data!N55="","",IFERROR(IF(ISNUMBER(Clean_Data!N55),Clean_Data!N55,""),""))</f>
        <v>4.8</v>
      </c>
      <c r="U55" s="18">
        <f>IFERROR(IF(ISNUMBER(Clean_Data!O55),Clean_Data!O55,0),0)</f>
        <v>-17.399999999999999</v>
      </c>
      <c r="V55" s="5">
        <f ca="1">IFERROR(IF(ISNUMBER(Calc_Helper!E55),Calc_Helper!E55,0),0)</f>
        <v>440</v>
      </c>
      <c r="W55" s="5">
        <f ca="1">IFERROR(IF(ISNUMBER(Calc_Helper!F55),Calc_Helper!F55,0),0)</f>
        <v>422</v>
      </c>
      <c r="X55" s="5">
        <f>IFERROR(IF(ISNUMBER(Calc_Helper!G55),Calc_Helper!G55,0),0)</f>
        <v>0</v>
      </c>
      <c r="Y55" s="5">
        <f ca="1">IFERROR(IF(ISNUMBER(Calc_Helper!H55),Calc_Helper!H55,0),0)</f>
        <v>440</v>
      </c>
      <c r="Z55" s="20" t="b">
        <f>Calc_Helper!B55</f>
        <v>0</v>
      </c>
      <c r="AA55" s="5">
        <f>IF(Calc_Helper!B55=TRUE(),1,0)</f>
        <v>0</v>
      </c>
      <c r="AB55" s="20" t="b">
        <f>Calc_Helper!C55</f>
        <v>1</v>
      </c>
      <c r="AC55" s="5">
        <f>IF(Calc_Helper!C55=TRUE(),1,0)</f>
        <v>1</v>
      </c>
      <c r="AD55" s="20" t="b">
        <f ca="1">Calc_Helper!D55</f>
        <v>1</v>
      </c>
      <c r="AE55" s="5">
        <f ca="1">IF(Calc_Helper!D55=TRUE(),1,0)</f>
        <v>1</v>
      </c>
      <c r="AF55" s="20" t="b">
        <f ca="1">Calc_Helper!O55</f>
        <v>1</v>
      </c>
      <c r="AG55" s="5">
        <f ca="1">IF(Calc_Helper!O55=TRUE(),1,0)</f>
        <v>1</v>
      </c>
      <c r="AH55" s="20" t="b">
        <f>Calc_Helper!P55</f>
        <v>0</v>
      </c>
      <c r="AI55" s="5">
        <f>IF(Calc_Helper!P55=TRUE(),1,0)</f>
        <v>0</v>
      </c>
      <c r="AJ55" s="20" t="b">
        <f ca="1">Calc_Helper!Q55</f>
        <v>0</v>
      </c>
      <c r="AK55" s="5">
        <f ca="1">IF(Calc_Helper!Q55=TRUE(),1,0)</f>
        <v>0</v>
      </c>
      <c r="AL55" s="20" t="b">
        <f ca="1">Calc_Helper!R55</f>
        <v>1</v>
      </c>
      <c r="AM55" s="5">
        <f ca="1">IF(Calc_Helper!R55=TRUE(),1,0)</f>
        <v>1</v>
      </c>
      <c r="AN55" s="5" t="str">
        <f>IF(Calc_Helper!S55="","Unknown",Calc_Helper!S55)</f>
        <v>On Track</v>
      </c>
      <c r="AO55" s="5">
        <f>IF(OR(Calc_Helper!S55="Healthy",Calc_Helper!S55="On Track"),1,0)</f>
        <v>1</v>
      </c>
      <c r="AP55" s="5" t="str">
        <f>IFERROR(IF(Calc_Helper!T55="","",Calc_Helper!T55),"")</f>
        <v/>
      </c>
      <c r="AQ55" s="5">
        <f>IF(Calc_Helper!T55=TRUE(),1,0)</f>
        <v>0</v>
      </c>
    </row>
    <row r="56" spans="1:43" x14ac:dyDescent="0.3">
      <c r="A56" s="2" t="str">
        <f>IF(Clean_Data!A56="","Unknown",Clean_Data!A56)</f>
        <v>TSK-0055</v>
      </c>
      <c r="B56" s="2" t="str">
        <f>IF(Clean_Data!B56="","Unknown",Clean_Data!B56)</f>
        <v>Mobile App v2</v>
      </c>
      <c r="C56" s="2" t="str">
        <f>IF(Clean_Data!C56="","Unknown",Clean_Data!C56)</f>
        <v>Sales</v>
      </c>
      <c r="D56" s="2" t="str">
        <f>IF(Clean_Data!D56="","Unknown",Clean_Data!D56)</f>
        <v>Vikram Singh</v>
      </c>
      <c r="E56" s="2" t="str">
        <f>IF(Clean_Data!E56="","Unknown",Clean_Data!E56)</f>
        <v>Analyst</v>
      </c>
      <c r="F56" s="2" t="str">
        <f>IF(Clean_Data!F56="","Unknown",Clean_Data!F56)</f>
        <v>High</v>
      </c>
      <c r="G56" s="2" t="str">
        <f>IF(Clean_Data!G56="","Unknown",Clean_Data!G56)</f>
        <v>Planning</v>
      </c>
      <c r="H56" s="2" t="str">
        <f>IF(Clean_Data!K56="","Unknown",Clean_Data!K56)</f>
        <v>On Hold</v>
      </c>
      <c r="I56" s="10">
        <f>Clean_Data!H56</f>
        <v>45657</v>
      </c>
      <c r="J56" s="10">
        <f>Clean_Data!I56</f>
        <v>45680</v>
      </c>
      <c r="K56" s="10" t="str">
        <f>Clean_Data!J56</f>
        <v/>
      </c>
      <c r="L56" s="2" t="str">
        <f>IF(Calc_Helper!I56="","Unknown",Calc_Helper!I56)</f>
        <v>2025-01</v>
      </c>
      <c r="M56" s="2" t="str">
        <f>IF(Calc_Helper!J56="","Unknown",Calc_Helper!J56)</f>
        <v>2024-12</v>
      </c>
      <c r="N56" s="19" t="str">
        <f>IF(Calc_Helper!K56="","",Calc_Helper!K56)</f>
        <v/>
      </c>
      <c r="O56" s="2">
        <f>IFERROR(Calc_Helper!L56,"")</f>
        <v>2024</v>
      </c>
      <c r="P56" s="2">
        <f>IFERROR(Calc_Helper!M56,"")</f>
        <v>12</v>
      </c>
      <c r="Q56" s="2" t="str">
        <f>IF(Calc_Helper!N56="","Unknown",Calc_Helper!N56)</f>
        <v>December</v>
      </c>
      <c r="R56" s="15">
        <f>IFERROR(IF(ISNUMBER(Clean_Data!L56),Clean_Data!L56,0),0)</f>
        <v>0</v>
      </c>
      <c r="S56" s="16">
        <f>IFERROR(IF(ISNUMBER(Clean_Data!M56),Clean_Data!M56,0),0)</f>
        <v>21.7</v>
      </c>
      <c r="T56" s="16">
        <f>IF(Clean_Data!N56="","",IFERROR(IF(ISNUMBER(Clean_Data!N56),Clean_Data!N56,""),""))</f>
        <v>0</v>
      </c>
      <c r="U56" s="16">
        <f>IFERROR(IF(ISNUMBER(Clean_Data!O56),Clean_Data!O56,0),0)</f>
        <v>-21.7</v>
      </c>
      <c r="V56" s="2">
        <f ca="1">IFERROR(IF(ISNUMBER(Calc_Helper!E56),Calc_Helper!E56,0),0)</f>
        <v>469</v>
      </c>
      <c r="W56" s="2">
        <f ca="1">IFERROR(IF(ISNUMBER(Calc_Helper!F56),Calc_Helper!F56,0),0)</f>
        <v>446</v>
      </c>
      <c r="X56" s="2">
        <f>IFERROR(IF(ISNUMBER(Calc_Helper!G56),Calc_Helper!G56,0),0)</f>
        <v>0</v>
      </c>
      <c r="Y56" s="2">
        <f ca="1">IFERROR(IF(ISNUMBER(Calc_Helper!H56),Calc_Helper!H56,0),0)</f>
        <v>469</v>
      </c>
      <c r="Z56" s="19" t="b">
        <f>Calc_Helper!B56</f>
        <v>0</v>
      </c>
      <c r="AA56" s="2">
        <f>IF(Calc_Helper!B56=TRUE(),1,0)</f>
        <v>0</v>
      </c>
      <c r="AB56" s="19" t="b">
        <f>Calc_Helper!C56</f>
        <v>1</v>
      </c>
      <c r="AC56" s="2">
        <f>IF(Calc_Helper!C56=TRUE(),1,0)</f>
        <v>1</v>
      </c>
      <c r="AD56" s="19" t="b">
        <f ca="1">Calc_Helper!D56</f>
        <v>1</v>
      </c>
      <c r="AE56" s="2">
        <f ca="1">IF(Calc_Helper!D56=TRUE(),1,0)</f>
        <v>1</v>
      </c>
      <c r="AF56" s="19" t="b">
        <f ca="1">Calc_Helper!O56</f>
        <v>1</v>
      </c>
      <c r="AG56" s="2">
        <f ca="1">IF(Calc_Helper!O56=TRUE(),1,0)</f>
        <v>1</v>
      </c>
      <c r="AH56" s="19" t="b">
        <f>Calc_Helper!P56</f>
        <v>1</v>
      </c>
      <c r="AI56" s="2">
        <f>IF(Calc_Helper!P56=TRUE(),1,0)</f>
        <v>1</v>
      </c>
      <c r="AJ56" s="19" t="b">
        <f ca="1">Calc_Helper!Q56</f>
        <v>1</v>
      </c>
      <c r="AK56" s="2">
        <f ca="1">IF(Calc_Helper!Q56=TRUE(),1,0)</f>
        <v>1</v>
      </c>
      <c r="AL56" s="19" t="b">
        <f ca="1">Calc_Helper!R56</f>
        <v>0</v>
      </c>
      <c r="AM56" s="2">
        <f ca="1">IF(Calc_Helper!R56=TRUE(),1,0)</f>
        <v>0</v>
      </c>
      <c r="AN56" s="2" t="str">
        <f>IF(Calc_Helper!S56="","Unknown",Calc_Helper!S56)</f>
        <v>N/A</v>
      </c>
      <c r="AO56" s="2">
        <f>IF(OR(Calc_Helper!S56="Healthy",Calc_Helper!S56="On Track"),1,0)</f>
        <v>0</v>
      </c>
      <c r="AP56" s="2" t="str">
        <f>IFERROR(IF(Calc_Helper!T56="","",Calc_Helper!T56),"")</f>
        <v/>
      </c>
      <c r="AQ56" s="2">
        <f>IF(Calc_Helper!T56=TRUE(),1,0)</f>
        <v>0</v>
      </c>
    </row>
    <row r="57" spans="1:43" x14ac:dyDescent="0.3">
      <c r="A57" s="5" t="str">
        <f>IF(Clean_Data!A57="","Unknown",Clean_Data!A57)</f>
        <v>TSK-0056</v>
      </c>
      <c r="B57" s="5" t="str">
        <f>IF(Clean_Data!B57="","Unknown",Clean_Data!B57)</f>
        <v>Product Launch</v>
      </c>
      <c r="C57" s="5" t="str">
        <f>IF(Clean_Data!C57="","Unknown",Clean_Data!C57)</f>
        <v>Operations</v>
      </c>
      <c r="D57" s="5" t="str">
        <f>IF(Clean_Data!D57="","Unknown",Clean_Data!D57)</f>
        <v>Priya Patel</v>
      </c>
      <c r="E57" s="5" t="str">
        <f>IF(Clean_Data!E57="","Unknown",Clean_Data!E57)</f>
        <v>Manager</v>
      </c>
      <c r="F57" s="5" t="str">
        <f>IF(Clean_Data!F57="","Unknown",Clean_Data!F57)</f>
        <v>Low</v>
      </c>
      <c r="G57" s="5" t="str">
        <f>IF(Clean_Data!G57="","Unknown",Clean_Data!G57)</f>
        <v>Testing</v>
      </c>
      <c r="H57" s="5" t="str">
        <f>IF(Clean_Data!K57="","Unknown",Clean_Data!K57)</f>
        <v>In Progress</v>
      </c>
      <c r="I57" s="13">
        <f>Clean_Data!H57</f>
        <v>45432</v>
      </c>
      <c r="J57" s="13">
        <f>Clean_Data!I57</f>
        <v>45489</v>
      </c>
      <c r="K57" s="13" t="str">
        <f>Clean_Data!J57</f>
        <v/>
      </c>
      <c r="L57" s="5" t="str">
        <f>IF(Calc_Helper!I57="","Unknown",Calc_Helper!I57)</f>
        <v>2024-07</v>
      </c>
      <c r="M57" s="5" t="str">
        <f>IF(Calc_Helper!J57="","Unknown",Calc_Helper!J57)</f>
        <v>2024-05</v>
      </c>
      <c r="N57" s="19" t="str">
        <f>IF(Calc_Helper!K57="","",Calc_Helper!K57)</f>
        <v/>
      </c>
      <c r="O57" s="5">
        <f>IFERROR(Calc_Helper!L57,"")</f>
        <v>2024</v>
      </c>
      <c r="P57" s="5">
        <f>IFERROR(Calc_Helper!M57,"")</f>
        <v>5</v>
      </c>
      <c r="Q57" s="5" t="str">
        <f>IF(Calc_Helper!N57="","Unknown",Calc_Helper!N57)</f>
        <v>May</v>
      </c>
      <c r="R57" s="17">
        <f>IFERROR(IF(ISNUMBER(Clean_Data!L57),Clean_Data!L57,0),0)</f>
        <v>0.4</v>
      </c>
      <c r="S57" s="18">
        <f>IFERROR(IF(ISNUMBER(Clean_Data!M57),Clean_Data!M57,0),0)</f>
        <v>49.2</v>
      </c>
      <c r="T57" s="16">
        <f>IF(Clean_Data!N57="","",IFERROR(IF(ISNUMBER(Clean_Data!N57),Clean_Data!N57,""),""))</f>
        <v>40.9</v>
      </c>
      <c r="U57" s="18">
        <f>IFERROR(IF(ISNUMBER(Clean_Data!O57),Clean_Data!O57,0),0)</f>
        <v>-8.3000000000000043</v>
      </c>
      <c r="V57" s="5">
        <f ca="1">IFERROR(IF(ISNUMBER(Calc_Helper!E57),Calc_Helper!E57,0),0)</f>
        <v>694</v>
      </c>
      <c r="W57" s="5">
        <f ca="1">IFERROR(IF(ISNUMBER(Calc_Helper!F57),Calc_Helper!F57,0),0)</f>
        <v>637</v>
      </c>
      <c r="X57" s="5">
        <f>IFERROR(IF(ISNUMBER(Calc_Helper!G57),Calc_Helper!G57,0),0)</f>
        <v>0</v>
      </c>
      <c r="Y57" s="5">
        <f ca="1">IFERROR(IF(ISNUMBER(Calc_Helper!H57),Calc_Helper!H57,0),0)</f>
        <v>694</v>
      </c>
      <c r="Z57" s="20" t="b">
        <f>Calc_Helper!B57</f>
        <v>0</v>
      </c>
      <c r="AA57" s="5">
        <f>IF(Calc_Helper!B57=TRUE(),1,0)</f>
        <v>0</v>
      </c>
      <c r="AB57" s="20" t="b">
        <f>Calc_Helper!C57</f>
        <v>1</v>
      </c>
      <c r="AC57" s="5">
        <f>IF(Calc_Helper!C57=TRUE(),1,0)</f>
        <v>1</v>
      </c>
      <c r="AD57" s="20" t="b">
        <f ca="1">Calc_Helper!D57</f>
        <v>1</v>
      </c>
      <c r="AE57" s="5">
        <f ca="1">IF(Calc_Helper!D57=TRUE(),1,0)</f>
        <v>1</v>
      </c>
      <c r="AF57" s="20" t="b">
        <f ca="1">Calc_Helper!O57</f>
        <v>1</v>
      </c>
      <c r="AG57" s="5">
        <f ca="1">IF(Calc_Helper!O57=TRUE(),1,0)</f>
        <v>1</v>
      </c>
      <c r="AH57" s="20" t="b">
        <f>Calc_Helper!P57</f>
        <v>0</v>
      </c>
      <c r="AI57" s="5">
        <f>IF(Calc_Helper!P57=TRUE(),1,0)</f>
        <v>0</v>
      </c>
      <c r="AJ57" s="20" t="b">
        <f ca="1">Calc_Helper!Q57</f>
        <v>0</v>
      </c>
      <c r="AK57" s="5">
        <f ca="1">IF(Calc_Helper!Q57=TRUE(),1,0)</f>
        <v>0</v>
      </c>
      <c r="AL57" s="20" t="b">
        <f ca="1">Calc_Helper!R57</f>
        <v>1</v>
      </c>
      <c r="AM57" s="5">
        <f ca="1">IF(Calc_Helper!R57=TRUE(),1,0)</f>
        <v>1</v>
      </c>
      <c r="AN57" s="5" t="str">
        <f>IF(Calc_Helper!S57="","Unknown",Calc_Helper!S57)</f>
        <v>Slow</v>
      </c>
      <c r="AO57" s="5">
        <f>IF(OR(Calc_Helper!S57="Healthy",Calc_Helper!S57="On Track"),1,0)</f>
        <v>0</v>
      </c>
      <c r="AP57" s="5" t="str">
        <f>IFERROR(IF(Calc_Helper!T57="","",Calc_Helper!T57),"")</f>
        <v/>
      </c>
      <c r="AQ57" s="5">
        <f>IF(Calc_Helper!T57=TRUE(),1,0)</f>
        <v>0</v>
      </c>
    </row>
    <row r="58" spans="1:43" x14ac:dyDescent="0.3">
      <c r="A58" s="2" t="str">
        <f>IF(Clean_Data!A58="","Unknown",Clean_Data!A58)</f>
        <v>TSK-0057</v>
      </c>
      <c r="B58" s="2" t="str">
        <f>IF(Clean_Data!B58="","Unknown",Clean_Data!B58)</f>
        <v>Data Analytics Platform</v>
      </c>
      <c r="C58" s="2" t="str">
        <f>IF(Clean_Data!C58="","Unknown",Clean_Data!C58)</f>
        <v>HR</v>
      </c>
      <c r="D58" s="2" t="str">
        <f>IF(Clean_Data!D58="","Unknown",Clean_Data!D58)</f>
        <v>Pooja Reddy</v>
      </c>
      <c r="E58" s="2" t="str">
        <f>IF(Clean_Data!E58="","Unknown",Clean_Data!E58)</f>
        <v>Tester</v>
      </c>
      <c r="F58" s="2" t="str">
        <f>IF(Clean_Data!F58="","Unknown",Clean_Data!F58)</f>
        <v>Medium</v>
      </c>
      <c r="G58" s="2" t="str">
        <f>IF(Clean_Data!G58="","Unknown",Clean_Data!G58)</f>
        <v>Deployment</v>
      </c>
      <c r="H58" s="2" t="str">
        <f>IF(Clean_Data!K58="","Unknown",Clean_Data!K58)</f>
        <v>On Hold</v>
      </c>
      <c r="I58" s="10">
        <f>Clean_Data!H58</f>
        <v>45572</v>
      </c>
      <c r="J58" s="10">
        <f>Clean_Data!I58</f>
        <v>45608</v>
      </c>
      <c r="K58" s="10" t="str">
        <f>Clean_Data!J58</f>
        <v/>
      </c>
      <c r="L58" s="2" t="str">
        <f>IF(Calc_Helper!I58="","Unknown",Calc_Helper!I58)</f>
        <v>2024-11</v>
      </c>
      <c r="M58" s="2" t="str">
        <f>IF(Calc_Helper!J58="","Unknown",Calc_Helper!J58)</f>
        <v>2024-10</v>
      </c>
      <c r="N58" s="19" t="str">
        <f>IF(Calc_Helper!K58="","",Calc_Helper!K58)</f>
        <v/>
      </c>
      <c r="O58" s="2">
        <f>IFERROR(Calc_Helper!L58,"")</f>
        <v>2024</v>
      </c>
      <c r="P58" s="2">
        <f>IFERROR(Calc_Helper!M58,"")</f>
        <v>10</v>
      </c>
      <c r="Q58" s="2" t="str">
        <f>IF(Calc_Helper!N58="","Unknown",Calc_Helper!N58)</f>
        <v>October</v>
      </c>
      <c r="R58" s="15">
        <f>IFERROR(IF(ISNUMBER(Clean_Data!L58),Clean_Data!L58,0),0)</f>
        <v>0</v>
      </c>
      <c r="S58" s="16">
        <f>IFERROR(IF(ISNUMBER(Clean_Data!M58),Clean_Data!M58,0),0)</f>
        <v>7</v>
      </c>
      <c r="T58" s="16">
        <f>IF(Clean_Data!N58="","",IFERROR(IF(ISNUMBER(Clean_Data!N58),Clean_Data!N58,""),""))</f>
        <v>0</v>
      </c>
      <c r="U58" s="16">
        <f>IFERROR(IF(ISNUMBER(Clean_Data!O58),Clean_Data!O58,0),0)</f>
        <v>-7</v>
      </c>
      <c r="V58" s="2">
        <f ca="1">IFERROR(IF(ISNUMBER(Calc_Helper!E58),Calc_Helper!E58,0),0)</f>
        <v>554</v>
      </c>
      <c r="W58" s="2">
        <f ca="1">IFERROR(IF(ISNUMBER(Calc_Helper!F58),Calc_Helper!F58,0),0)</f>
        <v>518</v>
      </c>
      <c r="X58" s="2">
        <f>IFERROR(IF(ISNUMBER(Calc_Helper!G58),Calc_Helper!G58,0),0)</f>
        <v>0</v>
      </c>
      <c r="Y58" s="2">
        <f ca="1">IFERROR(IF(ISNUMBER(Calc_Helper!H58),Calc_Helper!H58,0),0)</f>
        <v>554</v>
      </c>
      <c r="Z58" s="19" t="b">
        <f>Calc_Helper!B58</f>
        <v>0</v>
      </c>
      <c r="AA58" s="2">
        <f>IF(Calc_Helper!B58=TRUE(),1,0)</f>
        <v>0</v>
      </c>
      <c r="AB58" s="19" t="b">
        <f>Calc_Helper!C58</f>
        <v>1</v>
      </c>
      <c r="AC58" s="2">
        <f>IF(Calc_Helper!C58=TRUE(),1,0)</f>
        <v>1</v>
      </c>
      <c r="AD58" s="19" t="b">
        <f ca="1">Calc_Helper!D58</f>
        <v>1</v>
      </c>
      <c r="AE58" s="2">
        <f ca="1">IF(Calc_Helper!D58=TRUE(),1,0)</f>
        <v>1</v>
      </c>
      <c r="AF58" s="19" t="b">
        <f ca="1">Calc_Helper!O58</f>
        <v>1</v>
      </c>
      <c r="AG58" s="2">
        <f ca="1">IF(Calc_Helper!O58=TRUE(),1,0)</f>
        <v>1</v>
      </c>
      <c r="AH58" s="19" t="b">
        <f>Calc_Helper!P58</f>
        <v>0</v>
      </c>
      <c r="AI58" s="2">
        <f>IF(Calc_Helper!P58=TRUE(),1,0)</f>
        <v>0</v>
      </c>
      <c r="AJ58" s="19" t="b">
        <f ca="1">Calc_Helper!Q58</f>
        <v>0</v>
      </c>
      <c r="AK58" s="2">
        <f ca="1">IF(Calc_Helper!Q58=TRUE(),1,0)</f>
        <v>0</v>
      </c>
      <c r="AL58" s="19" t="b">
        <f ca="1">Calc_Helper!R58</f>
        <v>0</v>
      </c>
      <c r="AM58" s="2">
        <f ca="1">IF(Calc_Helper!R58=TRUE(),1,0)</f>
        <v>0</v>
      </c>
      <c r="AN58" s="2" t="str">
        <f>IF(Calc_Helper!S58="","Unknown",Calc_Helper!S58)</f>
        <v>N/A</v>
      </c>
      <c r="AO58" s="2">
        <f>IF(OR(Calc_Helper!S58="Healthy",Calc_Helper!S58="On Track"),1,0)</f>
        <v>0</v>
      </c>
      <c r="AP58" s="2" t="str">
        <f>IFERROR(IF(Calc_Helper!T58="","",Calc_Helper!T58),"")</f>
        <v/>
      </c>
      <c r="AQ58" s="2">
        <f>IF(Calc_Helper!T58=TRUE(),1,0)</f>
        <v>0</v>
      </c>
    </row>
    <row r="59" spans="1:43" x14ac:dyDescent="0.3">
      <c r="A59" s="5" t="str">
        <f>IF(Clean_Data!A59="","Unknown",Clean_Data!A59)</f>
        <v>TSK-0058</v>
      </c>
      <c r="B59" s="5" t="str">
        <f>IF(Clean_Data!B59="","Unknown",Clean_Data!B59)</f>
        <v>Mobile App v2</v>
      </c>
      <c r="C59" s="5" t="str">
        <f>IF(Clean_Data!C59="","Unknown",Clean_Data!C59)</f>
        <v>HR</v>
      </c>
      <c r="D59" s="5" t="str">
        <f>IF(Clean_Data!D59="","Unknown",Clean_Data!D59)</f>
        <v>Rahul Sharma</v>
      </c>
      <c r="E59" s="5" t="str">
        <f>IF(Clean_Data!E59="","Unknown",Clean_Data!E59)</f>
        <v>Analyst</v>
      </c>
      <c r="F59" s="5" t="str">
        <f>IF(Clean_Data!F59="","Unknown",Clean_Data!F59)</f>
        <v>High</v>
      </c>
      <c r="G59" s="5" t="str">
        <f>IF(Clean_Data!G59="","Unknown",Clean_Data!G59)</f>
        <v>Development</v>
      </c>
      <c r="H59" s="5" t="str">
        <f>IF(Clean_Data!K59="","Unknown",Clean_Data!K59)</f>
        <v>Not Started</v>
      </c>
      <c r="I59" s="13">
        <f>Clean_Data!H59</f>
        <v>45687</v>
      </c>
      <c r="J59" s="13">
        <f>Clean_Data!I59</f>
        <v>45735</v>
      </c>
      <c r="K59" s="13" t="str">
        <f>Clean_Data!J59</f>
        <v/>
      </c>
      <c r="L59" s="5" t="str">
        <f>IF(Calc_Helper!I59="","Unknown",Calc_Helper!I59)</f>
        <v>2025-03</v>
      </c>
      <c r="M59" s="5" t="str">
        <f>IF(Calc_Helper!J59="","Unknown",Calc_Helper!J59)</f>
        <v>2025-01</v>
      </c>
      <c r="N59" s="19" t="str">
        <f>IF(Calc_Helper!K59="","",Calc_Helper!K59)</f>
        <v/>
      </c>
      <c r="O59" s="5">
        <f>IFERROR(Calc_Helper!L59,"")</f>
        <v>2025</v>
      </c>
      <c r="P59" s="5">
        <f>IFERROR(Calc_Helper!M59,"")</f>
        <v>1</v>
      </c>
      <c r="Q59" s="5" t="str">
        <f>IF(Calc_Helper!N59="","Unknown",Calc_Helper!N59)</f>
        <v>January</v>
      </c>
      <c r="R59" s="17">
        <f>IFERROR(IF(ISNUMBER(Clean_Data!L59),Clean_Data!L59,0),0)</f>
        <v>0</v>
      </c>
      <c r="S59" s="18">
        <f>IFERROR(IF(ISNUMBER(Clean_Data!M59),Clean_Data!M59,0),0)</f>
        <v>7.1</v>
      </c>
      <c r="T59" s="16" t="str">
        <f>IF(Clean_Data!N59="","",IFERROR(IF(ISNUMBER(Clean_Data!N59),Clean_Data!N59,""),""))</f>
        <v/>
      </c>
      <c r="U59" s="18">
        <f>IFERROR(IF(ISNUMBER(Clean_Data!O59),Clean_Data!O59,0),0)</f>
        <v>0</v>
      </c>
      <c r="V59" s="5">
        <f ca="1">IFERROR(IF(ISNUMBER(Calc_Helper!E59),Calc_Helper!E59,0),0)</f>
        <v>439</v>
      </c>
      <c r="W59" s="5">
        <f ca="1">IFERROR(IF(ISNUMBER(Calc_Helper!F59),Calc_Helper!F59,0),0)</f>
        <v>391</v>
      </c>
      <c r="X59" s="5">
        <f>IFERROR(IF(ISNUMBER(Calc_Helper!G59),Calc_Helper!G59,0),0)</f>
        <v>0</v>
      </c>
      <c r="Y59" s="5">
        <f ca="1">IFERROR(IF(ISNUMBER(Calc_Helper!H59),Calc_Helper!H59,0),0)</f>
        <v>439</v>
      </c>
      <c r="Z59" s="20" t="b">
        <f>Calc_Helper!B59</f>
        <v>0</v>
      </c>
      <c r="AA59" s="5">
        <f>IF(Calc_Helper!B59=TRUE(),1,0)</f>
        <v>0</v>
      </c>
      <c r="AB59" s="20" t="b">
        <f>Calc_Helper!C59</f>
        <v>1</v>
      </c>
      <c r="AC59" s="5">
        <f>IF(Calc_Helper!C59=TRUE(),1,0)</f>
        <v>1</v>
      </c>
      <c r="AD59" s="20" t="b">
        <f ca="1">Calc_Helper!D59</f>
        <v>1</v>
      </c>
      <c r="AE59" s="5">
        <f ca="1">IF(Calc_Helper!D59=TRUE(),1,0)</f>
        <v>1</v>
      </c>
      <c r="AF59" s="20" t="b">
        <f ca="1">Calc_Helper!O59</f>
        <v>1</v>
      </c>
      <c r="AG59" s="5">
        <f ca="1">IF(Calc_Helper!O59=TRUE(),1,0)</f>
        <v>1</v>
      </c>
      <c r="AH59" s="20" t="b">
        <f>Calc_Helper!P59</f>
        <v>1</v>
      </c>
      <c r="AI59" s="5">
        <f>IF(Calc_Helper!P59=TRUE(),1,0)</f>
        <v>1</v>
      </c>
      <c r="AJ59" s="20" t="b">
        <f ca="1">Calc_Helper!Q59</f>
        <v>1</v>
      </c>
      <c r="AK59" s="5">
        <f ca="1">IF(Calc_Helper!Q59=TRUE(),1,0)</f>
        <v>1</v>
      </c>
      <c r="AL59" s="20" t="b">
        <f ca="1">Calc_Helper!R59</f>
        <v>0</v>
      </c>
      <c r="AM59" s="5">
        <f ca="1">IF(Calc_Helper!R59=TRUE(),1,0)</f>
        <v>0</v>
      </c>
      <c r="AN59" s="5" t="str">
        <f>IF(Calc_Helper!S59="","Unknown",Calc_Helper!S59)</f>
        <v>N/A</v>
      </c>
      <c r="AO59" s="5">
        <f>IF(OR(Calc_Helper!S59="Healthy",Calc_Helper!S59="On Track"),1,0)</f>
        <v>0</v>
      </c>
      <c r="AP59" s="5" t="str">
        <f>IFERROR(IF(Calc_Helper!T59="","",Calc_Helper!T59),"")</f>
        <v/>
      </c>
      <c r="AQ59" s="5">
        <f>IF(Calc_Helper!T59=TRUE(),1,0)</f>
        <v>0</v>
      </c>
    </row>
    <row r="60" spans="1:43" x14ac:dyDescent="0.3">
      <c r="A60" s="2" t="str">
        <f>IF(Clean_Data!A60="","Unknown",Clean_Data!A60)</f>
        <v>TSK-0059</v>
      </c>
      <c r="B60" s="2" t="str">
        <f>IF(Clean_Data!B60="","Unknown",Clean_Data!B60)</f>
        <v>Data Analytics Platform</v>
      </c>
      <c r="C60" s="2" t="str">
        <f>IF(Clean_Data!C60="","Unknown",Clean_Data!C60)</f>
        <v>HR</v>
      </c>
      <c r="D60" s="2" t="str">
        <f>IF(Clean_Data!D60="","Unknown",Clean_Data!D60)</f>
        <v>Amit Verma</v>
      </c>
      <c r="E60" s="2" t="str">
        <f>IF(Clean_Data!E60="","Unknown",Clean_Data!E60)</f>
        <v>Coordinator</v>
      </c>
      <c r="F60" s="2" t="str">
        <f>IF(Clean_Data!F60="","Unknown",Clean_Data!F60)</f>
        <v>Low</v>
      </c>
      <c r="G60" s="2" t="str">
        <f>IF(Clean_Data!G60="","Unknown",Clean_Data!G60)</f>
        <v>Deployment</v>
      </c>
      <c r="H60" s="2" t="str">
        <f>IF(Clean_Data!K60="","Unknown",Clean_Data!K60)</f>
        <v>Not Started</v>
      </c>
      <c r="I60" s="10">
        <f>Clean_Data!H60</f>
        <v>45342</v>
      </c>
      <c r="J60" s="10">
        <f>Clean_Data!I60</f>
        <v>45377</v>
      </c>
      <c r="K60" s="10" t="str">
        <f>Clean_Data!J60</f>
        <v/>
      </c>
      <c r="L60" s="2" t="str">
        <f>IF(Calc_Helper!I60="","Unknown",Calc_Helper!I60)</f>
        <v>2024-03</v>
      </c>
      <c r="M60" s="2" t="str">
        <f>IF(Calc_Helper!J60="","Unknown",Calc_Helper!J60)</f>
        <v>2024-02</v>
      </c>
      <c r="N60" s="19" t="str">
        <f>IF(Calc_Helper!K60="","",Calc_Helper!K60)</f>
        <v/>
      </c>
      <c r="O60" s="2">
        <f>IFERROR(Calc_Helper!L60,"")</f>
        <v>2024</v>
      </c>
      <c r="P60" s="2">
        <f>IFERROR(Calc_Helper!M60,"")</f>
        <v>2</v>
      </c>
      <c r="Q60" s="2" t="str">
        <f>IF(Calc_Helper!N60="","Unknown",Calc_Helper!N60)</f>
        <v>February</v>
      </c>
      <c r="R60" s="15">
        <f>IFERROR(IF(ISNUMBER(Clean_Data!L60),Clean_Data!L60,0),0)</f>
        <v>0</v>
      </c>
      <c r="S60" s="16">
        <f>IFERROR(IF(ISNUMBER(Clean_Data!M60),Clean_Data!M60,0),0)</f>
        <v>29.3</v>
      </c>
      <c r="T60" s="16" t="str">
        <f>IF(Clean_Data!N60="","",IFERROR(IF(ISNUMBER(Clean_Data!N60),Clean_Data!N60,""),""))</f>
        <v/>
      </c>
      <c r="U60" s="16">
        <f>IFERROR(IF(ISNUMBER(Clean_Data!O60),Clean_Data!O60,0),0)</f>
        <v>0</v>
      </c>
      <c r="V60" s="2">
        <f ca="1">IFERROR(IF(ISNUMBER(Calc_Helper!E60),Calc_Helper!E60,0),0)</f>
        <v>784</v>
      </c>
      <c r="W60" s="2">
        <f ca="1">IFERROR(IF(ISNUMBER(Calc_Helper!F60),Calc_Helper!F60,0),0)</f>
        <v>749</v>
      </c>
      <c r="X60" s="2">
        <f>IFERROR(IF(ISNUMBER(Calc_Helper!G60),Calc_Helper!G60,0),0)</f>
        <v>0</v>
      </c>
      <c r="Y60" s="2">
        <f ca="1">IFERROR(IF(ISNUMBER(Calc_Helper!H60),Calc_Helper!H60,0),0)</f>
        <v>784</v>
      </c>
      <c r="Z60" s="19" t="b">
        <f>Calc_Helper!B60</f>
        <v>0</v>
      </c>
      <c r="AA60" s="2">
        <f>IF(Calc_Helper!B60=TRUE(),1,0)</f>
        <v>0</v>
      </c>
      <c r="AB60" s="19" t="b">
        <f>Calc_Helper!C60</f>
        <v>1</v>
      </c>
      <c r="AC60" s="2">
        <f>IF(Calc_Helper!C60=TRUE(),1,0)</f>
        <v>1</v>
      </c>
      <c r="AD60" s="19" t="b">
        <f ca="1">Calc_Helper!D60</f>
        <v>1</v>
      </c>
      <c r="AE60" s="2">
        <f ca="1">IF(Calc_Helper!D60=TRUE(),1,0)</f>
        <v>1</v>
      </c>
      <c r="AF60" s="19" t="b">
        <f ca="1">Calc_Helper!O60</f>
        <v>1</v>
      </c>
      <c r="AG60" s="2">
        <f ca="1">IF(Calc_Helper!O60=TRUE(),1,0)</f>
        <v>1</v>
      </c>
      <c r="AH60" s="19" t="b">
        <f>Calc_Helper!P60</f>
        <v>0</v>
      </c>
      <c r="AI60" s="2">
        <f>IF(Calc_Helper!P60=TRUE(),1,0)</f>
        <v>0</v>
      </c>
      <c r="AJ60" s="19" t="b">
        <f ca="1">Calc_Helper!Q60</f>
        <v>0</v>
      </c>
      <c r="AK60" s="2">
        <f ca="1">IF(Calc_Helper!Q60=TRUE(),1,0)</f>
        <v>0</v>
      </c>
      <c r="AL60" s="19" t="b">
        <f ca="1">Calc_Helper!R60</f>
        <v>0</v>
      </c>
      <c r="AM60" s="2">
        <f ca="1">IF(Calc_Helper!R60=TRUE(),1,0)</f>
        <v>0</v>
      </c>
      <c r="AN60" s="2" t="str">
        <f>IF(Calc_Helper!S60="","Unknown",Calc_Helper!S60)</f>
        <v>N/A</v>
      </c>
      <c r="AO60" s="2">
        <f>IF(OR(Calc_Helper!S60="Healthy",Calc_Helper!S60="On Track"),1,0)</f>
        <v>0</v>
      </c>
      <c r="AP60" s="2" t="str">
        <f>IFERROR(IF(Calc_Helper!T60="","",Calc_Helper!T60),"")</f>
        <v/>
      </c>
      <c r="AQ60" s="2">
        <f>IF(Calc_Helper!T60=TRUE(),1,0)</f>
        <v>0</v>
      </c>
    </row>
    <row r="61" spans="1:43" x14ac:dyDescent="0.3">
      <c r="A61" s="5" t="str">
        <f>IF(Clean_Data!A61="","Unknown",Clean_Data!A61)</f>
        <v>TSK-0060</v>
      </c>
      <c r="B61" s="5" t="str">
        <f>IF(Clean_Data!B61="","Unknown",Clean_Data!B61)</f>
        <v>IT Infrastructure</v>
      </c>
      <c r="C61" s="5" t="str">
        <f>IF(Clean_Data!C61="","Unknown",Clean_Data!C61)</f>
        <v>Operations</v>
      </c>
      <c r="D61" s="5" t="str">
        <f>IF(Clean_Data!D61="","Unknown",Clean_Data!D61)</f>
        <v>Pooja Reddy</v>
      </c>
      <c r="E61" s="5" t="str">
        <f>IF(Clean_Data!E61="","Unknown",Clean_Data!E61)</f>
        <v>Lead</v>
      </c>
      <c r="F61" s="5" t="str">
        <f>IF(Clean_Data!F61="","Unknown",Clean_Data!F61)</f>
        <v>Medium</v>
      </c>
      <c r="G61" s="5" t="str">
        <f>IF(Clean_Data!G61="","Unknown",Clean_Data!G61)</f>
        <v>Review</v>
      </c>
      <c r="H61" s="5" t="str">
        <f>IF(Clean_Data!K61="","Unknown",Clean_Data!K61)</f>
        <v>Completed</v>
      </c>
      <c r="I61" s="13">
        <f>Clean_Data!H61</f>
        <v>45685</v>
      </c>
      <c r="J61" s="13">
        <f>Clean_Data!I61</f>
        <v>45725</v>
      </c>
      <c r="K61" s="13">
        <f>Clean_Data!J61</f>
        <v>45729</v>
      </c>
      <c r="L61" s="5" t="str">
        <f>IF(Calc_Helper!I61="","Unknown",Calc_Helper!I61)</f>
        <v>2025-03</v>
      </c>
      <c r="M61" s="5" t="str">
        <f>IF(Calc_Helper!J61="","Unknown",Calc_Helper!J61)</f>
        <v>2025-01</v>
      </c>
      <c r="N61" s="19" t="str">
        <f>IF(Calc_Helper!K61="","",Calc_Helper!K61)</f>
        <v>2025-03</v>
      </c>
      <c r="O61" s="5">
        <f>IFERROR(Calc_Helper!L61,"")</f>
        <v>2025</v>
      </c>
      <c r="P61" s="5">
        <f>IFERROR(Calc_Helper!M61,"")</f>
        <v>1</v>
      </c>
      <c r="Q61" s="5" t="str">
        <f>IF(Calc_Helper!N61="","Unknown",Calc_Helper!N61)</f>
        <v>January</v>
      </c>
      <c r="R61" s="17">
        <f>IFERROR(IF(ISNUMBER(Clean_Data!L61),Clean_Data!L61,0),0)</f>
        <v>1</v>
      </c>
      <c r="S61" s="18">
        <f>IFERROR(IF(ISNUMBER(Clean_Data!M61),Clean_Data!M61,0),0)</f>
        <v>27.9</v>
      </c>
      <c r="T61" s="16">
        <f>IF(Clean_Data!N61="","",IFERROR(IF(ISNUMBER(Clean_Data!N61),Clean_Data!N61,""),""))</f>
        <v>25.8</v>
      </c>
      <c r="U61" s="18">
        <f>IFERROR(IF(ISNUMBER(Clean_Data!O61),Clean_Data!O61,0),0)</f>
        <v>-2.0999999999999979</v>
      </c>
      <c r="V61" s="5">
        <f ca="1">IFERROR(IF(ISNUMBER(Calc_Helper!E61),Calc_Helper!E61,0),0)</f>
        <v>0</v>
      </c>
      <c r="W61" s="5">
        <f ca="1">IFERROR(IF(ISNUMBER(Calc_Helper!F61),Calc_Helper!F61,0),0)</f>
        <v>4</v>
      </c>
      <c r="X61" s="5">
        <f>IFERROR(IF(ISNUMBER(Calc_Helper!G61),Calc_Helper!G61,0),0)</f>
        <v>44</v>
      </c>
      <c r="Y61" s="5">
        <f ca="1">IFERROR(IF(ISNUMBER(Calc_Helper!H61),Calc_Helper!H61,0),0)</f>
        <v>44</v>
      </c>
      <c r="Z61" s="20" t="b">
        <f>Calc_Helper!B61</f>
        <v>1</v>
      </c>
      <c r="AA61" s="5">
        <f>IF(Calc_Helper!B61=TRUE(),1,0)</f>
        <v>1</v>
      </c>
      <c r="AB61" s="20" t="b">
        <f>Calc_Helper!C61</f>
        <v>0</v>
      </c>
      <c r="AC61" s="5">
        <f>IF(Calc_Helper!C61=TRUE(),1,0)</f>
        <v>0</v>
      </c>
      <c r="AD61" s="20" t="b">
        <f ca="1">Calc_Helper!D61</f>
        <v>0</v>
      </c>
      <c r="AE61" s="5">
        <f ca="1">IF(Calc_Helper!D61=TRUE(),1,0)</f>
        <v>0</v>
      </c>
      <c r="AF61" s="20" t="b">
        <f ca="1">Calc_Helper!O61</f>
        <v>0</v>
      </c>
      <c r="AG61" s="5">
        <f ca="1">IF(Calc_Helper!O61=TRUE(),1,0)</f>
        <v>0</v>
      </c>
      <c r="AH61" s="20" t="b">
        <f>Calc_Helper!P61</f>
        <v>0</v>
      </c>
      <c r="AI61" s="5">
        <f>IF(Calc_Helper!P61=TRUE(),1,0)</f>
        <v>0</v>
      </c>
      <c r="AJ61" s="20" t="b">
        <f ca="1">Calc_Helper!Q61</f>
        <v>0</v>
      </c>
      <c r="AK61" s="5">
        <f ca="1">IF(Calc_Helper!Q61=TRUE(),1,0)</f>
        <v>0</v>
      </c>
      <c r="AL61" s="20" t="b">
        <f ca="1">Calc_Helper!R61</f>
        <v>0</v>
      </c>
      <c r="AM61" s="5">
        <f ca="1">IF(Calc_Helper!R61=TRUE(),1,0)</f>
        <v>0</v>
      </c>
      <c r="AN61" s="5" t="str">
        <f>IF(Calc_Helper!S61="","Unknown",Calc_Helper!S61)</f>
        <v>Healthy</v>
      </c>
      <c r="AO61" s="5">
        <f>IF(OR(Calc_Helper!S61="Healthy",Calc_Helper!S61="On Track"),1,0)</f>
        <v>1</v>
      </c>
      <c r="AP61" s="20" t="b">
        <f>IFERROR(IF(Calc_Helper!T61="","",Calc_Helper!T61),"")</f>
        <v>0</v>
      </c>
      <c r="AQ61" s="5">
        <f>IF(Calc_Helper!T61=TRUE(),1,0)</f>
        <v>0</v>
      </c>
    </row>
    <row r="62" spans="1:43" x14ac:dyDescent="0.3">
      <c r="A62" s="2" t="str">
        <f>IF(Clean_Data!A62="","Unknown",Clean_Data!A62)</f>
        <v>TSK-0061</v>
      </c>
      <c r="B62" s="2" t="str">
        <f>IF(Clean_Data!B62="","Unknown",Clean_Data!B62)</f>
        <v>Website Redesign</v>
      </c>
      <c r="C62" s="2" t="str">
        <f>IF(Clean_Data!C62="","Unknown",Clean_Data!C62)</f>
        <v>Sales</v>
      </c>
      <c r="D62" s="2" t="str">
        <f>IF(Clean_Data!D62="","Unknown",Clean_Data!D62)</f>
        <v>Arjun Mehta</v>
      </c>
      <c r="E62" s="2" t="str">
        <f>IF(Clean_Data!E62="","Unknown",Clean_Data!E62)</f>
        <v>Analyst</v>
      </c>
      <c r="F62" s="2" t="str">
        <f>IF(Clean_Data!F62="","Unknown",Clean_Data!F62)</f>
        <v>High</v>
      </c>
      <c r="G62" s="2" t="str">
        <f>IF(Clean_Data!G62="","Unknown",Clean_Data!G62)</f>
        <v>Deployment</v>
      </c>
      <c r="H62" s="2" t="str">
        <f>IF(Clean_Data!K62="","Unknown",Clean_Data!K62)</f>
        <v>Cancelled</v>
      </c>
      <c r="I62" s="10">
        <f>Clean_Data!H62</f>
        <v>45481</v>
      </c>
      <c r="J62" s="10">
        <f>Clean_Data!I62</f>
        <v>45525</v>
      </c>
      <c r="K62" s="10" t="str">
        <f>Clean_Data!J62</f>
        <v/>
      </c>
      <c r="L62" s="2" t="str">
        <f>IF(Calc_Helper!I62="","Unknown",Calc_Helper!I62)</f>
        <v>2024-08</v>
      </c>
      <c r="M62" s="2" t="str">
        <f>IF(Calc_Helper!J62="","Unknown",Calc_Helper!J62)</f>
        <v>2024-07</v>
      </c>
      <c r="N62" s="19" t="str">
        <f>IF(Calc_Helper!K62="","",Calc_Helper!K62)</f>
        <v/>
      </c>
      <c r="O62" s="2">
        <f>IFERROR(Calc_Helper!L62,"")</f>
        <v>2024</v>
      </c>
      <c r="P62" s="2">
        <f>IFERROR(Calc_Helper!M62,"")</f>
        <v>7</v>
      </c>
      <c r="Q62" s="2" t="str">
        <f>IF(Calc_Helper!N62="","Unknown",Calc_Helper!N62)</f>
        <v>July</v>
      </c>
      <c r="R62" s="15">
        <f>IFERROR(IF(ISNUMBER(Clean_Data!L62),Clean_Data!L62,0),0)</f>
        <v>0</v>
      </c>
      <c r="S62" s="16">
        <f>IFERROR(IF(ISNUMBER(Clean_Data!M62),Clean_Data!M62,0),0)</f>
        <v>37.6</v>
      </c>
      <c r="T62" s="16" t="str">
        <f>IF(Clean_Data!N62="","",IFERROR(IF(ISNUMBER(Clean_Data!N62),Clean_Data!N62,""),""))</f>
        <v/>
      </c>
      <c r="U62" s="16">
        <f>IFERROR(IF(ISNUMBER(Clean_Data!O62),Clean_Data!O62,0),0)</f>
        <v>0</v>
      </c>
      <c r="V62" s="2">
        <f ca="1">IFERROR(IF(ISNUMBER(Calc_Helper!E62),Calc_Helper!E62,0),0)</f>
        <v>0</v>
      </c>
      <c r="W62" s="2">
        <f ca="1">IFERROR(IF(ISNUMBER(Calc_Helper!F62),Calc_Helper!F62,0),0)</f>
        <v>0</v>
      </c>
      <c r="X62" s="2">
        <f>IFERROR(IF(ISNUMBER(Calc_Helper!G62),Calc_Helper!G62,0),0)</f>
        <v>0</v>
      </c>
      <c r="Y62" s="2">
        <f ca="1">IFERROR(IF(ISNUMBER(Calc_Helper!H62),Calc_Helper!H62,0),0)</f>
        <v>645</v>
      </c>
      <c r="Z62" s="19" t="b">
        <f>Calc_Helper!B62</f>
        <v>0</v>
      </c>
      <c r="AA62" s="2">
        <f>IF(Calc_Helper!B62=TRUE(),1,0)</f>
        <v>0</v>
      </c>
      <c r="AB62" s="19" t="b">
        <f>Calc_Helper!C62</f>
        <v>0</v>
      </c>
      <c r="AC62" s="2">
        <f>IF(Calc_Helper!C62=TRUE(),1,0)</f>
        <v>0</v>
      </c>
      <c r="AD62" s="19" t="b">
        <f ca="1">Calc_Helper!D62</f>
        <v>0</v>
      </c>
      <c r="AE62" s="2">
        <f ca="1">IF(Calc_Helper!D62=TRUE(),1,0)</f>
        <v>0</v>
      </c>
      <c r="AF62" s="19" t="b">
        <f ca="1">Calc_Helper!O62</f>
        <v>0</v>
      </c>
      <c r="AG62" s="2">
        <f ca="1">IF(Calc_Helper!O62=TRUE(),1,0)</f>
        <v>0</v>
      </c>
      <c r="AH62" s="19" t="b">
        <f>Calc_Helper!P62</f>
        <v>0</v>
      </c>
      <c r="AI62" s="2">
        <f>IF(Calc_Helper!P62=TRUE(),1,0)</f>
        <v>0</v>
      </c>
      <c r="AJ62" s="19" t="b">
        <f ca="1">Calc_Helper!Q62</f>
        <v>0</v>
      </c>
      <c r="AK62" s="2">
        <f ca="1">IF(Calc_Helper!Q62=TRUE(),1,0)</f>
        <v>0</v>
      </c>
      <c r="AL62" s="19" t="b">
        <f ca="1">Calc_Helper!R62</f>
        <v>0</v>
      </c>
      <c r="AM62" s="2">
        <f ca="1">IF(Calc_Helper!R62=TRUE(),1,0)</f>
        <v>0</v>
      </c>
      <c r="AN62" s="2" t="str">
        <f>IF(Calc_Helper!S62="","Unknown",Calc_Helper!S62)</f>
        <v>N/A</v>
      </c>
      <c r="AO62" s="2">
        <f>IF(OR(Calc_Helper!S62="Healthy",Calc_Helper!S62="On Track"),1,0)</f>
        <v>0</v>
      </c>
      <c r="AP62" s="2" t="str">
        <f>IFERROR(IF(Calc_Helper!T62="","",Calc_Helper!T62),"")</f>
        <v/>
      </c>
      <c r="AQ62" s="2">
        <f>IF(Calc_Helper!T62=TRUE(),1,0)</f>
        <v>0</v>
      </c>
    </row>
    <row r="63" spans="1:43" x14ac:dyDescent="0.3">
      <c r="A63" s="5" t="str">
        <f>IF(Clean_Data!A63="","Unknown",Clean_Data!A63)</f>
        <v>TSK-0062</v>
      </c>
      <c r="B63" s="5" t="str">
        <f>IF(Clean_Data!B63="","Unknown",Clean_Data!B63)</f>
        <v>Supply Chain Optimization</v>
      </c>
      <c r="C63" s="5" t="str">
        <f>IF(Clean_Data!C63="","Unknown",Clean_Data!C63)</f>
        <v>Finance</v>
      </c>
      <c r="D63" s="5" t="str">
        <f>IF(Clean_Data!D63="","Unknown",Clean_Data!D63)</f>
        <v>Karan Malhotra</v>
      </c>
      <c r="E63" s="5" t="str">
        <f>IF(Clean_Data!E63="","Unknown",Clean_Data!E63)</f>
        <v>Designer</v>
      </c>
      <c r="F63" s="5" t="str">
        <f>IF(Clean_Data!F63="","Unknown",Clean_Data!F63)</f>
        <v>Medium</v>
      </c>
      <c r="G63" s="5" t="str">
        <f>IF(Clean_Data!G63="","Unknown",Clean_Data!G63)</f>
        <v>Deployment</v>
      </c>
      <c r="H63" s="5" t="str">
        <f>IF(Clean_Data!K63="","Unknown",Clean_Data!K63)</f>
        <v>In Progress</v>
      </c>
      <c r="I63" s="13">
        <f>Clean_Data!H63</f>
        <v>45358</v>
      </c>
      <c r="J63" s="13">
        <f>Clean_Data!I63</f>
        <v>45364</v>
      </c>
      <c r="K63" s="13" t="str">
        <f>Clean_Data!J63</f>
        <v/>
      </c>
      <c r="L63" s="5" t="str">
        <f>IF(Calc_Helper!I63="","Unknown",Calc_Helper!I63)</f>
        <v>2024-03</v>
      </c>
      <c r="M63" s="5" t="str">
        <f>IF(Calc_Helper!J63="","Unknown",Calc_Helper!J63)</f>
        <v>2024-03</v>
      </c>
      <c r="N63" s="19" t="str">
        <f>IF(Calc_Helper!K63="","",Calc_Helper!K63)</f>
        <v/>
      </c>
      <c r="O63" s="5">
        <f>IFERROR(Calc_Helper!L63,"")</f>
        <v>2024</v>
      </c>
      <c r="P63" s="5">
        <f>IFERROR(Calc_Helper!M63,"")</f>
        <v>3</v>
      </c>
      <c r="Q63" s="5" t="str">
        <f>IF(Calc_Helper!N63="","Unknown",Calc_Helper!N63)</f>
        <v>March</v>
      </c>
      <c r="R63" s="17">
        <f>IFERROR(IF(ISNUMBER(Clean_Data!L63),Clean_Data!L63,0),0)</f>
        <v>0.3</v>
      </c>
      <c r="S63" s="18">
        <f>IFERROR(IF(ISNUMBER(Clean_Data!M63),Clean_Data!M63,0),0)</f>
        <v>46</v>
      </c>
      <c r="T63" s="16" t="str">
        <f>IF(Clean_Data!N63="","",IFERROR(IF(ISNUMBER(Clean_Data!N63),Clean_Data!N63,""),""))</f>
        <v/>
      </c>
      <c r="U63" s="18">
        <f>IFERROR(IF(ISNUMBER(Clean_Data!O63),Clean_Data!O63,0),0)</f>
        <v>0</v>
      </c>
      <c r="V63" s="5">
        <f ca="1">IFERROR(IF(ISNUMBER(Calc_Helper!E63),Calc_Helper!E63,0),0)</f>
        <v>768</v>
      </c>
      <c r="W63" s="5">
        <f ca="1">IFERROR(IF(ISNUMBER(Calc_Helper!F63),Calc_Helper!F63,0),0)</f>
        <v>762</v>
      </c>
      <c r="X63" s="5">
        <f>IFERROR(IF(ISNUMBER(Calc_Helper!G63),Calc_Helper!G63,0),0)</f>
        <v>0</v>
      </c>
      <c r="Y63" s="5">
        <f ca="1">IFERROR(IF(ISNUMBER(Calc_Helper!H63),Calc_Helper!H63,0),0)</f>
        <v>768</v>
      </c>
      <c r="Z63" s="20" t="b">
        <f>Calc_Helper!B63</f>
        <v>0</v>
      </c>
      <c r="AA63" s="5">
        <f>IF(Calc_Helper!B63=TRUE(),1,0)</f>
        <v>0</v>
      </c>
      <c r="AB63" s="20" t="b">
        <f>Calc_Helper!C63</f>
        <v>1</v>
      </c>
      <c r="AC63" s="5">
        <f>IF(Calc_Helper!C63=TRUE(),1,0)</f>
        <v>1</v>
      </c>
      <c r="AD63" s="20" t="b">
        <f ca="1">Calc_Helper!D63</f>
        <v>1</v>
      </c>
      <c r="AE63" s="5">
        <f ca="1">IF(Calc_Helper!D63=TRUE(),1,0)</f>
        <v>1</v>
      </c>
      <c r="AF63" s="20" t="b">
        <f ca="1">Calc_Helper!O63</f>
        <v>1</v>
      </c>
      <c r="AG63" s="5">
        <f ca="1">IF(Calc_Helper!O63=TRUE(),1,0)</f>
        <v>1</v>
      </c>
      <c r="AH63" s="20" t="b">
        <f>Calc_Helper!P63</f>
        <v>0</v>
      </c>
      <c r="AI63" s="5">
        <f>IF(Calc_Helper!P63=TRUE(),1,0)</f>
        <v>0</v>
      </c>
      <c r="AJ63" s="20" t="b">
        <f ca="1">Calc_Helper!Q63</f>
        <v>0</v>
      </c>
      <c r="AK63" s="5">
        <f ca="1">IF(Calc_Helper!Q63=TRUE(),1,0)</f>
        <v>0</v>
      </c>
      <c r="AL63" s="20" t="b">
        <f ca="1">Calc_Helper!R63</f>
        <v>1</v>
      </c>
      <c r="AM63" s="5">
        <f ca="1">IF(Calc_Helper!R63=TRUE(),1,0)</f>
        <v>1</v>
      </c>
      <c r="AN63" s="5" t="str">
        <f>IF(Calc_Helper!S63="","Unknown",Calc_Helper!S63)</f>
        <v>Slow</v>
      </c>
      <c r="AO63" s="5">
        <f>IF(OR(Calc_Helper!S63="Healthy",Calc_Helper!S63="On Track"),1,0)</f>
        <v>0</v>
      </c>
      <c r="AP63" s="5" t="str">
        <f>IFERROR(IF(Calc_Helper!T63="","",Calc_Helper!T63),"")</f>
        <v/>
      </c>
      <c r="AQ63" s="5">
        <f>IF(Calc_Helper!T63=TRUE(),1,0)</f>
        <v>0</v>
      </c>
    </row>
    <row r="64" spans="1:43" x14ac:dyDescent="0.3">
      <c r="A64" s="2" t="str">
        <f>IF(Clean_Data!A64="","Unknown",Clean_Data!A64)</f>
        <v>TSK-0063</v>
      </c>
      <c r="B64" s="2" t="str">
        <f>IF(Clean_Data!B64="","Unknown",Clean_Data!B64)</f>
        <v>CRM Migration</v>
      </c>
      <c r="C64" s="2" t="str">
        <f>IF(Clean_Data!C64="","Unknown",Clean_Data!C64)</f>
        <v>Finance</v>
      </c>
      <c r="D64" s="2" t="str">
        <f>IF(Clean_Data!D64="","Unknown",Clean_Data!D64)</f>
        <v>Kavita Rao</v>
      </c>
      <c r="E64" s="2" t="str">
        <f>IF(Clean_Data!E64="","Unknown",Clean_Data!E64)</f>
        <v>Designer</v>
      </c>
      <c r="F64" s="2" t="str">
        <f>IF(Clean_Data!F64="","Unknown",Clean_Data!F64)</f>
        <v>Low</v>
      </c>
      <c r="G64" s="2" t="str">
        <f>IF(Clean_Data!G64="","Unknown",Clean_Data!G64)</f>
        <v>Research</v>
      </c>
      <c r="H64" s="2" t="str">
        <f>IF(Clean_Data!K64="","Unknown",Clean_Data!K64)</f>
        <v>Cancelled</v>
      </c>
      <c r="I64" s="10">
        <f>Clean_Data!H64</f>
        <v>45508</v>
      </c>
      <c r="J64" s="10">
        <f>Clean_Data!I64</f>
        <v>45566</v>
      </c>
      <c r="K64" s="10" t="str">
        <f>Clean_Data!J64</f>
        <v/>
      </c>
      <c r="L64" s="2" t="str">
        <f>IF(Calc_Helper!I64="","Unknown",Calc_Helper!I64)</f>
        <v>2024-10</v>
      </c>
      <c r="M64" s="2" t="str">
        <f>IF(Calc_Helper!J64="","Unknown",Calc_Helper!J64)</f>
        <v>2024-08</v>
      </c>
      <c r="N64" s="19" t="str">
        <f>IF(Calc_Helper!K64="","",Calc_Helper!K64)</f>
        <v/>
      </c>
      <c r="O64" s="2">
        <f>IFERROR(Calc_Helper!L64,"")</f>
        <v>2024</v>
      </c>
      <c r="P64" s="2">
        <f>IFERROR(Calc_Helper!M64,"")</f>
        <v>8</v>
      </c>
      <c r="Q64" s="2" t="str">
        <f>IF(Calc_Helper!N64="","Unknown",Calc_Helper!N64)</f>
        <v>August</v>
      </c>
      <c r="R64" s="15">
        <f>IFERROR(IF(ISNUMBER(Clean_Data!L64),Clean_Data!L64,0),0)</f>
        <v>0</v>
      </c>
      <c r="S64" s="16">
        <f>IFERROR(IF(ISNUMBER(Clean_Data!M64),Clean_Data!M64,0),0)</f>
        <v>22.5</v>
      </c>
      <c r="T64" s="16" t="str">
        <f>IF(Clean_Data!N64="","",IFERROR(IF(ISNUMBER(Clean_Data!N64),Clean_Data!N64,""),""))</f>
        <v/>
      </c>
      <c r="U64" s="16">
        <f>IFERROR(IF(ISNUMBER(Clean_Data!O64),Clean_Data!O64,0),0)</f>
        <v>0</v>
      </c>
      <c r="V64" s="2">
        <f ca="1">IFERROR(IF(ISNUMBER(Calc_Helper!E64),Calc_Helper!E64,0),0)</f>
        <v>0</v>
      </c>
      <c r="W64" s="2">
        <f ca="1">IFERROR(IF(ISNUMBER(Calc_Helper!F64),Calc_Helper!F64,0),0)</f>
        <v>0</v>
      </c>
      <c r="X64" s="2">
        <f>IFERROR(IF(ISNUMBER(Calc_Helper!G64),Calc_Helper!G64,0),0)</f>
        <v>0</v>
      </c>
      <c r="Y64" s="2">
        <f ca="1">IFERROR(IF(ISNUMBER(Calc_Helper!H64),Calc_Helper!H64,0),0)</f>
        <v>618</v>
      </c>
      <c r="Z64" s="19" t="b">
        <f>Calc_Helper!B64</f>
        <v>0</v>
      </c>
      <c r="AA64" s="2">
        <f>IF(Calc_Helper!B64=TRUE(),1,0)</f>
        <v>0</v>
      </c>
      <c r="AB64" s="19" t="b">
        <f>Calc_Helper!C64</f>
        <v>0</v>
      </c>
      <c r="AC64" s="2">
        <f>IF(Calc_Helper!C64=TRUE(),1,0)</f>
        <v>0</v>
      </c>
      <c r="AD64" s="19" t="b">
        <f ca="1">Calc_Helper!D64</f>
        <v>0</v>
      </c>
      <c r="AE64" s="2">
        <f ca="1">IF(Calc_Helper!D64=TRUE(),1,0)</f>
        <v>0</v>
      </c>
      <c r="AF64" s="19" t="b">
        <f ca="1">Calc_Helper!O64</f>
        <v>0</v>
      </c>
      <c r="AG64" s="2">
        <f ca="1">IF(Calc_Helper!O64=TRUE(),1,0)</f>
        <v>0</v>
      </c>
      <c r="AH64" s="19" t="b">
        <f>Calc_Helper!P64</f>
        <v>0</v>
      </c>
      <c r="AI64" s="2">
        <f>IF(Calc_Helper!P64=TRUE(),1,0)</f>
        <v>0</v>
      </c>
      <c r="AJ64" s="19" t="b">
        <f ca="1">Calc_Helper!Q64</f>
        <v>0</v>
      </c>
      <c r="AK64" s="2">
        <f ca="1">IF(Calc_Helper!Q64=TRUE(),1,0)</f>
        <v>0</v>
      </c>
      <c r="AL64" s="19" t="b">
        <f ca="1">Calc_Helper!R64</f>
        <v>0</v>
      </c>
      <c r="AM64" s="2">
        <f ca="1">IF(Calc_Helper!R64=TRUE(),1,0)</f>
        <v>0</v>
      </c>
      <c r="AN64" s="2" t="str">
        <f>IF(Calc_Helper!S64="","Unknown",Calc_Helper!S64)</f>
        <v>N/A</v>
      </c>
      <c r="AO64" s="2">
        <f>IF(OR(Calc_Helper!S64="Healthy",Calc_Helper!S64="On Track"),1,0)</f>
        <v>0</v>
      </c>
      <c r="AP64" s="2" t="str">
        <f>IFERROR(IF(Calc_Helper!T64="","",Calc_Helper!T64),"")</f>
        <v/>
      </c>
      <c r="AQ64" s="2">
        <f>IF(Calc_Helper!T64=TRUE(),1,0)</f>
        <v>0</v>
      </c>
    </row>
    <row r="65" spans="1:43" x14ac:dyDescent="0.3">
      <c r="A65" s="5" t="str">
        <f>IF(Clean_Data!A65="","Unknown",Clean_Data!A65)</f>
        <v>TSK-0064</v>
      </c>
      <c r="B65" s="5" t="str">
        <f>IF(Clean_Data!B65="","Unknown",Clean_Data!B65)</f>
        <v>Product Launch</v>
      </c>
      <c r="C65" s="5" t="str">
        <f>IF(Clean_Data!C65="","Unknown",Clean_Data!C65)</f>
        <v>Sales</v>
      </c>
      <c r="D65" s="5" t="str">
        <f>IF(Clean_Data!D65="","Unknown",Clean_Data!D65)</f>
        <v>Pooja Reddy</v>
      </c>
      <c r="E65" s="5" t="str">
        <f>IF(Clean_Data!E65="","Unknown",Clean_Data!E65)</f>
        <v>Developer</v>
      </c>
      <c r="F65" s="5" t="str">
        <f>IF(Clean_Data!F65="","Unknown",Clean_Data!F65)</f>
        <v>Critical</v>
      </c>
      <c r="G65" s="5" t="str">
        <f>IF(Clean_Data!G65="","Unknown",Clean_Data!G65)</f>
        <v>Development</v>
      </c>
      <c r="H65" s="5" t="str">
        <f>IF(Clean_Data!K65="","Unknown",Clean_Data!K65)</f>
        <v>On Hold</v>
      </c>
      <c r="I65" s="13">
        <f>Clean_Data!H65</f>
        <v>45437</v>
      </c>
      <c r="J65" s="13">
        <f>Clean_Data!I65</f>
        <v>45491</v>
      </c>
      <c r="K65" s="13" t="str">
        <f>Clean_Data!J65</f>
        <v/>
      </c>
      <c r="L65" s="5" t="str">
        <f>IF(Calc_Helper!I65="","Unknown",Calc_Helper!I65)</f>
        <v>2024-07</v>
      </c>
      <c r="M65" s="5" t="str">
        <f>IF(Calc_Helper!J65="","Unknown",Calc_Helper!J65)</f>
        <v>2024-05</v>
      </c>
      <c r="N65" s="19" t="str">
        <f>IF(Calc_Helper!K65="","",Calc_Helper!K65)</f>
        <v/>
      </c>
      <c r="O65" s="5">
        <f>IFERROR(Calc_Helper!L65,"")</f>
        <v>2024</v>
      </c>
      <c r="P65" s="5">
        <f>IFERROR(Calc_Helper!M65,"")</f>
        <v>5</v>
      </c>
      <c r="Q65" s="5" t="str">
        <f>IF(Calc_Helper!N65="","Unknown",Calc_Helper!N65)</f>
        <v>May</v>
      </c>
      <c r="R65" s="17">
        <f>IFERROR(IF(ISNUMBER(Clean_Data!L65),Clean_Data!L65,0),0)</f>
        <v>0</v>
      </c>
      <c r="S65" s="18">
        <f>IFERROR(IF(ISNUMBER(Clean_Data!M65),Clean_Data!M65,0),0)</f>
        <v>24.3</v>
      </c>
      <c r="T65" s="16" t="str">
        <f>IF(Clean_Data!N65="","",IFERROR(IF(ISNUMBER(Clean_Data!N65),Clean_Data!N65,""),""))</f>
        <v/>
      </c>
      <c r="U65" s="18">
        <f>IFERROR(IF(ISNUMBER(Clean_Data!O65),Clean_Data!O65,0),0)</f>
        <v>0</v>
      </c>
      <c r="V65" s="5">
        <f ca="1">IFERROR(IF(ISNUMBER(Calc_Helper!E65),Calc_Helper!E65,0),0)</f>
        <v>689</v>
      </c>
      <c r="W65" s="5">
        <f ca="1">IFERROR(IF(ISNUMBER(Calc_Helper!F65),Calc_Helper!F65,0),0)</f>
        <v>635</v>
      </c>
      <c r="X65" s="5">
        <f>IFERROR(IF(ISNUMBER(Calc_Helper!G65),Calc_Helper!G65,0),0)</f>
        <v>0</v>
      </c>
      <c r="Y65" s="5">
        <f ca="1">IFERROR(IF(ISNUMBER(Calc_Helper!H65),Calc_Helper!H65,0),0)</f>
        <v>689</v>
      </c>
      <c r="Z65" s="20" t="b">
        <f>Calc_Helper!B65</f>
        <v>0</v>
      </c>
      <c r="AA65" s="5">
        <f>IF(Calc_Helper!B65=TRUE(),1,0)</f>
        <v>0</v>
      </c>
      <c r="AB65" s="20" t="b">
        <f>Calc_Helper!C65</f>
        <v>1</v>
      </c>
      <c r="AC65" s="5">
        <f>IF(Calc_Helper!C65=TRUE(),1,0)</f>
        <v>1</v>
      </c>
      <c r="AD65" s="20" t="b">
        <f ca="1">Calc_Helper!D65</f>
        <v>1</v>
      </c>
      <c r="AE65" s="5">
        <f ca="1">IF(Calc_Helper!D65=TRUE(),1,0)</f>
        <v>1</v>
      </c>
      <c r="AF65" s="20" t="b">
        <f ca="1">Calc_Helper!O65</f>
        <v>1</v>
      </c>
      <c r="AG65" s="5">
        <f ca="1">IF(Calc_Helper!O65=TRUE(),1,0)</f>
        <v>1</v>
      </c>
      <c r="AH65" s="20" t="b">
        <f>Calc_Helper!P65</f>
        <v>1</v>
      </c>
      <c r="AI65" s="5">
        <f>IF(Calc_Helper!P65=TRUE(),1,0)</f>
        <v>1</v>
      </c>
      <c r="AJ65" s="20" t="b">
        <f ca="1">Calc_Helper!Q65</f>
        <v>1</v>
      </c>
      <c r="AK65" s="5">
        <f ca="1">IF(Calc_Helper!Q65=TRUE(),1,0)</f>
        <v>1</v>
      </c>
      <c r="AL65" s="20" t="b">
        <f ca="1">Calc_Helper!R65</f>
        <v>0</v>
      </c>
      <c r="AM65" s="5">
        <f ca="1">IF(Calc_Helper!R65=TRUE(),1,0)</f>
        <v>0</v>
      </c>
      <c r="AN65" s="5" t="str">
        <f>IF(Calc_Helper!S65="","Unknown",Calc_Helper!S65)</f>
        <v>N/A</v>
      </c>
      <c r="AO65" s="5">
        <f>IF(OR(Calc_Helper!S65="Healthy",Calc_Helper!S65="On Track"),1,0)</f>
        <v>0</v>
      </c>
      <c r="AP65" s="5" t="str">
        <f>IFERROR(IF(Calc_Helper!T65="","",Calc_Helper!T65),"")</f>
        <v/>
      </c>
      <c r="AQ65" s="5">
        <f>IF(Calc_Helper!T65=TRUE(),1,0)</f>
        <v>0</v>
      </c>
    </row>
    <row r="66" spans="1:43" x14ac:dyDescent="0.3">
      <c r="A66" s="2" t="str">
        <f>IF(Clean_Data!A66="","Unknown",Clean_Data!A66)</f>
        <v>TSK-0065</v>
      </c>
      <c r="B66" s="2" t="str">
        <f>IF(Clean_Data!B66="","Unknown",Clean_Data!B66)</f>
        <v>Mobile App v2</v>
      </c>
      <c r="C66" s="2" t="str">
        <f>IF(Clean_Data!C66="","Unknown",Clean_Data!C66)</f>
        <v>Sales</v>
      </c>
      <c r="D66" s="2" t="str">
        <f>IF(Clean_Data!D66="","Unknown",Clean_Data!D66)</f>
        <v>Meera Thakur</v>
      </c>
      <c r="E66" s="2" t="str">
        <f>IF(Clean_Data!E66="","Unknown",Clean_Data!E66)</f>
        <v>Developer</v>
      </c>
      <c r="F66" s="2" t="str">
        <f>IF(Clean_Data!F66="","Unknown",Clean_Data!F66)</f>
        <v>Medium</v>
      </c>
      <c r="G66" s="2" t="str">
        <f>IF(Clean_Data!G66="","Unknown",Clean_Data!G66)</f>
        <v>Deployment</v>
      </c>
      <c r="H66" s="2" t="str">
        <f>IF(Clean_Data!K66="","Unknown",Clean_Data!K66)</f>
        <v>On Hold</v>
      </c>
      <c r="I66" s="10">
        <f>Clean_Data!H66</f>
        <v>45472</v>
      </c>
      <c r="J66" s="10">
        <f>Clean_Data!I66</f>
        <v>45498</v>
      </c>
      <c r="K66" s="10" t="str">
        <f>Clean_Data!J66</f>
        <v/>
      </c>
      <c r="L66" s="2" t="str">
        <f>IF(Calc_Helper!I66="","Unknown",Calc_Helper!I66)</f>
        <v>2024-07</v>
      </c>
      <c r="M66" s="2" t="str">
        <f>IF(Calc_Helper!J66="","Unknown",Calc_Helper!J66)</f>
        <v>2024-06</v>
      </c>
      <c r="N66" s="19" t="str">
        <f>IF(Calc_Helper!K66="","",Calc_Helper!K66)</f>
        <v/>
      </c>
      <c r="O66" s="2">
        <f>IFERROR(Calc_Helper!L66,"")</f>
        <v>2024</v>
      </c>
      <c r="P66" s="2">
        <f>IFERROR(Calc_Helper!M66,"")</f>
        <v>6</v>
      </c>
      <c r="Q66" s="2" t="str">
        <f>IF(Calc_Helper!N66="","Unknown",Calc_Helper!N66)</f>
        <v>June</v>
      </c>
      <c r="R66" s="15">
        <f>IFERROR(IF(ISNUMBER(Clean_Data!L66),Clean_Data!L66,0),0)</f>
        <v>0</v>
      </c>
      <c r="S66" s="16">
        <f>IFERROR(IF(ISNUMBER(Clean_Data!M66),Clean_Data!M66,0),0)</f>
        <v>70.099999999999994</v>
      </c>
      <c r="T66" s="16" t="str">
        <f>IF(Clean_Data!N66="","",IFERROR(IF(ISNUMBER(Clean_Data!N66),Clean_Data!N66,""),""))</f>
        <v/>
      </c>
      <c r="U66" s="16">
        <f>IFERROR(IF(ISNUMBER(Clean_Data!O66),Clean_Data!O66,0),0)</f>
        <v>0</v>
      </c>
      <c r="V66" s="2">
        <f ca="1">IFERROR(IF(ISNUMBER(Calc_Helper!E66),Calc_Helper!E66,0),0)</f>
        <v>654</v>
      </c>
      <c r="W66" s="2">
        <f ca="1">IFERROR(IF(ISNUMBER(Calc_Helper!F66),Calc_Helper!F66,0),0)</f>
        <v>628</v>
      </c>
      <c r="X66" s="2">
        <f>IFERROR(IF(ISNUMBER(Calc_Helper!G66),Calc_Helper!G66,0),0)</f>
        <v>0</v>
      </c>
      <c r="Y66" s="2">
        <f ca="1">IFERROR(IF(ISNUMBER(Calc_Helper!H66),Calc_Helper!H66,0),0)</f>
        <v>654</v>
      </c>
      <c r="Z66" s="19" t="b">
        <f>Calc_Helper!B66</f>
        <v>0</v>
      </c>
      <c r="AA66" s="2">
        <f>IF(Calc_Helper!B66=TRUE(),1,0)</f>
        <v>0</v>
      </c>
      <c r="AB66" s="19" t="b">
        <f>Calc_Helper!C66</f>
        <v>1</v>
      </c>
      <c r="AC66" s="2">
        <f>IF(Calc_Helper!C66=TRUE(),1,0)</f>
        <v>1</v>
      </c>
      <c r="AD66" s="19" t="b">
        <f ca="1">Calc_Helper!D66</f>
        <v>1</v>
      </c>
      <c r="AE66" s="2">
        <f ca="1">IF(Calc_Helper!D66=TRUE(),1,0)</f>
        <v>1</v>
      </c>
      <c r="AF66" s="19" t="b">
        <f ca="1">Calc_Helper!O66</f>
        <v>1</v>
      </c>
      <c r="AG66" s="2">
        <f ca="1">IF(Calc_Helper!O66=TRUE(),1,0)</f>
        <v>1</v>
      </c>
      <c r="AH66" s="19" t="b">
        <f>Calc_Helper!P66</f>
        <v>0</v>
      </c>
      <c r="AI66" s="2">
        <f>IF(Calc_Helper!P66=TRUE(),1,0)</f>
        <v>0</v>
      </c>
      <c r="AJ66" s="19" t="b">
        <f ca="1">Calc_Helper!Q66</f>
        <v>0</v>
      </c>
      <c r="AK66" s="2">
        <f ca="1">IF(Calc_Helper!Q66=TRUE(),1,0)</f>
        <v>0</v>
      </c>
      <c r="AL66" s="19" t="b">
        <f ca="1">Calc_Helper!R66</f>
        <v>0</v>
      </c>
      <c r="AM66" s="2">
        <f ca="1">IF(Calc_Helper!R66=TRUE(),1,0)</f>
        <v>0</v>
      </c>
      <c r="AN66" s="2" t="str">
        <f>IF(Calc_Helper!S66="","Unknown",Calc_Helper!S66)</f>
        <v>N/A</v>
      </c>
      <c r="AO66" s="2">
        <f>IF(OR(Calc_Helper!S66="Healthy",Calc_Helper!S66="On Track"),1,0)</f>
        <v>0</v>
      </c>
      <c r="AP66" s="2" t="str">
        <f>IFERROR(IF(Calc_Helper!T66="","",Calc_Helper!T66),"")</f>
        <v/>
      </c>
      <c r="AQ66" s="2">
        <f>IF(Calc_Helper!T66=TRUE(),1,0)</f>
        <v>0</v>
      </c>
    </row>
    <row r="67" spans="1:43" x14ac:dyDescent="0.3">
      <c r="A67" s="5" t="str">
        <f>IF(Clean_Data!A67="","Unknown",Clean_Data!A67)</f>
        <v>TSK-0066</v>
      </c>
      <c r="B67" s="5" t="str">
        <f>IF(Clean_Data!B67="","Unknown",Clean_Data!B67)</f>
        <v>Marketing Campaign</v>
      </c>
      <c r="C67" s="5" t="str">
        <f>IF(Clean_Data!C67="","Unknown",Clean_Data!C67)</f>
        <v>Marketing</v>
      </c>
      <c r="D67" s="5" t="str">
        <f>IF(Clean_Data!D67="","Unknown",Clean_Data!D67)</f>
        <v>Meera Thakur</v>
      </c>
      <c r="E67" s="5" t="str">
        <f>IF(Clean_Data!E67="","Unknown",Clean_Data!E67)</f>
        <v>Coordinator</v>
      </c>
      <c r="F67" s="5" t="str">
        <f>IF(Clean_Data!F67="","Unknown",Clean_Data!F67)</f>
        <v>High</v>
      </c>
      <c r="G67" s="5" t="str">
        <f>IF(Clean_Data!G67="","Unknown",Clean_Data!G67)</f>
        <v>Planning</v>
      </c>
      <c r="H67" s="5" t="str">
        <f>IF(Clean_Data!K67="","Unknown",Clean_Data!K67)</f>
        <v>On Hold</v>
      </c>
      <c r="I67" s="13">
        <f>Clean_Data!H67</f>
        <v>45677</v>
      </c>
      <c r="J67" s="13">
        <f>Clean_Data!I67</f>
        <v>45712</v>
      </c>
      <c r="K67" s="13" t="str">
        <f>Clean_Data!J67</f>
        <v/>
      </c>
      <c r="L67" s="5" t="str">
        <f>IF(Calc_Helper!I67="","Unknown",Calc_Helper!I67)</f>
        <v>2025-02</v>
      </c>
      <c r="M67" s="5" t="str">
        <f>IF(Calc_Helper!J67="","Unknown",Calc_Helper!J67)</f>
        <v>2025-01</v>
      </c>
      <c r="N67" s="19" t="str">
        <f>IF(Calc_Helper!K67="","",Calc_Helper!K67)</f>
        <v/>
      </c>
      <c r="O67" s="5">
        <f>IFERROR(Calc_Helper!L67,"")</f>
        <v>2025</v>
      </c>
      <c r="P67" s="5">
        <f>IFERROR(Calc_Helper!M67,"")</f>
        <v>1</v>
      </c>
      <c r="Q67" s="5" t="str">
        <f>IF(Calc_Helper!N67="","Unknown",Calc_Helper!N67)</f>
        <v>January</v>
      </c>
      <c r="R67" s="17">
        <f>IFERROR(IF(ISNUMBER(Clean_Data!L67),Clean_Data!L67,0),0)</f>
        <v>0</v>
      </c>
      <c r="S67" s="18">
        <f>IFERROR(IF(ISNUMBER(Clean_Data!M67),Clean_Data!M67,0),0)</f>
        <v>64.2</v>
      </c>
      <c r="T67" s="16" t="str">
        <f>IF(Clean_Data!N67="","",IFERROR(IF(ISNUMBER(Clean_Data!N67),Clean_Data!N67,""),""))</f>
        <v/>
      </c>
      <c r="U67" s="18">
        <f>IFERROR(IF(ISNUMBER(Clean_Data!O67),Clean_Data!O67,0),0)</f>
        <v>0</v>
      </c>
      <c r="V67" s="5">
        <f ca="1">IFERROR(IF(ISNUMBER(Calc_Helper!E67),Calc_Helper!E67,0),0)</f>
        <v>449</v>
      </c>
      <c r="W67" s="5">
        <f ca="1">IFERROR(IF(ISNUMBER(Calc_Helper!F67),Calc_Helper!F67,0),0)</f>
        <v>414</v>
      </c>
      <c r="X67" s="5">
        <f>IFERROR(IF(ISNUMBER(Calc_Helper!G67),Calc_Helper!G67,0),0)</f>
        <v>0</v>
      </c>
      <c r="Y67" s="5">
        <f ca="1">IFERROR(IF(ISNUMBER(Calc_Helper!H67),Calc_Helper!H67,0),0)</f>
        <v>449</v>
      </c>
      <c r="Z67" s="20" t="b">
        <f>Calc_Helper!B67</f>
        <v>0</v>
      </c>
      <c r="AA67" s="5">
        <f>IF(Calc_Helper!B67=TRUE(),1,0)</f>
        <v>0</v>
      </c>
      <c r="AB67" s="20" t="b">
        <f>Calc_Helper!C67</f>
        <v>1</v>
      </c>
      <c r="AC67" s="5">
        <f>IF(Calc_Helper!C67=TRUE(),1,0)</f>
        <v>1</v>
      </c>
      <c r="AD67" s="20" t="b">
        <f ca="1">Calc_Helper!D67</f>
        <v>1</v>
      </c>
      <c r="AE67" s="5">
        <f ca="1">IF(Calc_Helper!D67=TRUE(),1,0)</f>
        <v>1</v>
      </c>
      <c r="AF67" s="20" t="b">
        <f ca="1">Calc_Helper!O67</f>
        <v>1</v>
      </c>
      <c r="AG67" s="5">
        <f ca="1">IF(Calc_Helper!O67=TRUE(),1,0)</f>
        <v>1</v>
      </c>
      <c r="AH67" s="20" t="b">
        <f>Calc_Helper!P67</f>
        <v>1</v>
      </c>
      <c r="AI67" s="5">
        <f>IF(Calc_Helper!P67=TRUE(),1,0)</f>
        <v>1</v>
      </c>
      <c r="AJ67" s="20" t="b">
        <f ca="1">Calc_Helper!Q67</f>
        <v>1</v>
      </c>
      <c r="AK67" s="5">
        <f ca="1">IF(Calc_Helper!Q67=TRUE(),1,0)</f>
        <v>1</v>
      </c>
      <c r="AL67" s="20" t="b">
        <f ca="1">Calc_Helper!R67</f>
        <v>0</v>
      </c>
      <c r="AM67" s="5">
        <f ca="1">IF(Calc_Helper!R67=TRUE(),1,0)</f>
        <v>0</v>
      </c>
      <c r="AN67" s="5" t="str">
        <f>IF(Calc_Helper!S67="","Unknown",Calc_Helper!S67)</f>
        <v>N/A</v>
      </c>
      <c r="AO67" s="5">
        <f>IF(OR(Calc_Helper!S67="Healthy",Calc_Helper!S67="On Track"),1,0)</f>
        <v>0</v>
      </c>
      <c r="AP67" s="5" t="str">
        <f>IFERROR(IF(Calc_Helper!T67="","",Calc_Helper!T67),"")</f>
        <v/>
      </c>
      <c r="AQ67" s="5">
        <f>IF(Calc_Helper!T67=TRUE(),1,0)</f>
        <v>0</v>
      </c>
    </row>
    <row r="68" spans="1:43" x14ac:dyDescent="0.3">
      <c r="A68" s="2" t="str">
        <f>IF(Clean_Data!A68="","Unknown",Clean_Data!A68)</f>
        <v>TSK-0067</v>
      </c>
      <c r="B68" s="2" t="str">
        <f>IF(Clean_Data!B68="","Unknown",Clean_Data!B68)</f>
        <v>Website Redesign</v>
      </c>
      <c r="C68" s="2" t="str">
        <f>IF(Clean_Data!C68="","Unknown",Clean_Data!C68)</f>
        <v>Finance</v>
      </c>
      <c r="D68" s="2" t="str">
        <f>IF(Clean_Data!D68="","Unknown",Clean_Data!D68)</f>
        <v>Deepak Nair</v>
      </c>
      <c r="E68" s="2" t="str">
        <f>IF(Clean_Data!E68="","Unknown",Clean_Data!E68)</f>
        <v>Designer</v>
      </c>
      <c r="F68" s="2" t="str">
        <f>IF(Clean_Data!F68="","Unknown",Clean_Data!F68)</f>
        <v>Critical</v>
      </c>
      <c r="G68" s="2" t="str">
        <f>IF(Clean_Data!G68="","Unknown",Clean_Data!G68)</f>
        <v>Testing</v>
      </c>
      <c r="H68" s="2" t="str">
        <f>IF(Clean_Data!K68="","Unknown",Clean_Data!K68)</f>
        <v>Cancelled</v>
      </c>
      <c r="I68" s="10">
        <f>Clean_Data!H68</f>
        <v>45521</v>
      </c>
      <c r="J68" s="10">
        <f>Clean_Data!I68</f>
        <v>45532</v>
      </c>
      <c r="K68" s="10" t="str">
        <f>Clean_Data!J68</f>
        <v/>
      </c>
      <c r="L68" s="2" t="str">
        <f>IF(Calc_Helper!I68="","Unknown",Calc_Helper!I68)</f>
        <v>2024-08</v>
      </c>
      <c r="M68" s="2" t="str">
        <f>IF(Calc_Helper!J68="","Unknown",Calc_Helper!J68)</f>
        <v>2024-08</v>
      </c>
      <c r="N68" s="19" t="str">
        <f>IF(Calc_Helper!K68="","",Calc_Helper!K68)</f>
        <v/>
      </c>
      <c r="O68" s="2">
        <f>IFERROR(Calc_Helper!L68,"")</f>
        <v>2024</v>
      </c>
      <c r="P68" s="2">
        <f>IFERROR(Calc_Helper!M68,"")</f>
        <v>8</v>
      </c>
      <c r="Q68" s="2" t="str">
        <f>IF(Calc_Helper!N68="","Unknown",Calc_Helper!N68)</f>
        <v>August</v>
      </c>
      <c r="R68" s="15">
        <f>IFERROR(IF(ISNUMBER(Clean_Data!L68),Clean_Data!L68,0),0)</f>
        <v>0</v>
      </c>
      <c r="S68" s="16">
        <f>IFERROR(IF(ISNUMBER(Clean_Data!M68),Clean_Data!M68,0),0)</f>
        <v>5.2</v>
      </c>
      <c r="T68" s="16" t="str">
        <f>IF(Clean_Data!N68="","",IFERROR(IF(ISNUMBER(Clean_Data!N68),Clean_Data!N68,""),""))</f>
        <v/>
      </c>
      <c r="U68" s="16">
        <f>IFERROR(IF(ISNUMBER(Clean_Data!O68),Clean_Data!O68,0),0)</f>
        <v>0</v>
      </c>
      <c r="V68" s="2">
        <f ca="1">IFERROR(IF(ISNUMBER(Calc_Helper!E68),Calc_Helper!E68,0),0)</f>
        <v>0</v>
      </c>
      <c r="W68" s="2">
        <f ca="1">IFERROR(IF(ISNUMBER(Calc_Helper!F68),Calc_Helper!F68,0),0)</f>
        <v>0</v>
      </c>
      <c r="X68" s="2">
        <f>IFERROR(IF(ISNUMBER(Calc_Helper!G68),Calc_Helper!G68,0),0)</f>
        <v>0</v>
      </c>
      <c r="Y68" s="2">
        <f ca="1">IFERROR(IF(ISNUMBER(Calc_Helper!H68),Calc_Helper!H68,0),0)</f>
        <v>605</v>
      </c>
      <c r="Z68" s="19" t="b">
        <f>Calc_Helper!B68</f>
        <v>0</v>
      </c>
      <c r="AA68" s="2">
        <f>IF(Calc_Helper!B68=TRUE(),1,0)</f>
        <v>0</v>
      </c>
      <c r="AB68" s="19" t="b">
        <f>Calc_Helper!C68</f>
        <v>0</v>
      </c>
      <c r="AC68" s="2">
        <f>IF(Calc_Helper!C68=TRUE(),1,0)</f>
        <v>0</v>
      </c>
      <c r="AD68" s="19" t="b">
        <f ca="1">Calc_Helper!D68</f>
        <v>0</v>
      </c>
      <c r="AE68" s="2">
        <f ca="1">IF(Calc_Helper!D68=TRUE(),1,0)</f>
        <v>0</v>
      </c>
      <c r="AF68" s="19" t="b">
        <f ca="1">Calc_Helper!O68</f>
        <v>0</v>
      </c>
      <c r="AG68" s="2">
        <f ca="1">IF(Calc_Helper!O68=TRUE(),1,0)</f>
        <v>0</v>
      </c>
      <c r="AH68" s="19" t="b">
        <f>Calc_Helper!P68</f>
        <v>0</v>
      </c>
      <c r="AI68" s="2">
        <f>IF(Calc_Helper!P68=TRUE(),1,0)</f>
        <v>0</v>
      </c>
      <c r="AJ68" s="19" t="b">
        <f ca="1">Calc_Helper!Q68</f>
        <v>0</v>
      </c>
      <c r="AK68" s="2">
        <f ca="1">IF(Calc_Helper!Q68=TRUE(),1,0)</f>
        <v>0</v>
      </c>
      <c r="AL68" s="19" t="b">
        <f ca="1">Calc_Helper!R68</f>
        <v>0</v>
      </c>
      <c r="AM68" s="2">
        <f ca="1">IF(Calc_Helper!R68=TRUE(),1,0)</f>
        <v>0</v>
      </c>
      <c r="AN68" s="2" t="str">
        <f>IF(Calc_Helper!S68="","Unknown",Calc_Helper!S68)</f>
        <v>N/A</v>
      </c>
      <c r="AO68" s="2">
        <f>IF(OR(Calc_Helper!S68="Healthy",Calc_Helper!S68="On Track"),1,0)</f>
        <v>0</v>
      </c>
      <c r="AP68" s="2" t="str">
        <f>IFERROR(IF(Calc_Helper!T68="","",Calc_Helper!T68),"")</f>
        <v/>
      </c>
      <c r="AQ68" s="2">
        <f>IF(Calc_Helper!T68=TRUE(),1,0)</f>
        <v>0</v>
      </c>
    </row>
    <row r="69" spans="1:43" x14ac:dyDescent="0.3">
      <c r="A69" s="5" t="str">
        <f>IF(Clean_Data!A69="","Unknown",Clean_Data!A69)</f>
        <v>TSK-0068</v>
      </c>
      <c r="B69" s="5" t="str">
        <f>IF(Clean_Data!B69="","Unknown",Clean_Data!B69)</f>
        <v>CRM Migration</v>
      </c>
      <c r="C69" s="5" t="str">
        <f>IF(Clean_Data!C69="","Unknown",Clean_Data!C69)</f>
        <v>Sales</v>
      </c>
      <c r="D69" s="5" t="str">
        <f>IF(Clean_Data!D69="","Unknown",Clean_Data!D69)</f>
        <v>Sanjay Kulkarni</v>
      </c>
      <c r="E69" s="5" t="str">
        <f>IF(Clean_Data!E69="","Unknown",Clean_Data!E69)</f>
        <v>Manager</v>
      </c>
      <c r="F69" s="5" t="str">
        <f>IF(Clean_Data!F69="","Unknown",Clean_Data!F69)</f>
        <v>Medium</v>
      </c>
      <c r="G69" s="5" t="str">
        <f>IF(Clean_Data!G69="","Unknown",Clean_Data!G69)</f>
        <v>Review</v>
      </c>
      <c r="H69" s="5" t="str">
        <f>IF(Clean_Data!K69="","Unknown",Clean_Data!K69)</f>
        <v>Not Started</v>
      </c>
      <c r="I69" s="13">
        <f>Clean_Data!H69</f>
        <v>45628</v>
      </c>
      <c r="J69" s="13">
        <f>Clean_Data!I69</f>
        <v>45638</v>
      </c>
      <c r="K69" s="13" t="str">
        <f>Clean_Data!J69</f>
        <v/>
      </c>
      <c r="L69" s="5" t="str">
        <f>IF(Calc_Helper!I69="","Unknown",Calc_Helper!I69)</f>
        <v>2024-12</v>
      </c>
      <c r="M69" s="5" t="str">
        <f>IF(Calc_Helper!J69="","Unknown",Calc_Helper!J69)</f>
        <v>2024-12</v>
      </c>
      <c r="N69" s="19" t="str">
        <f>IF(Calc_Helper!K69="","",Calc_Helper!K69)</f>
        <v/>
      </c>
      <c r="O69" s="5">
        <f>IFERROR(Calc_Helper!L69,"")</f>
        <v>2024</v>
      </c>
      <c r="P69" s="5">
        <f>IFERROR(Calc_Helper!M69,"")</f>
        <v>12</v>
      </c>
      <c r="Q69" s="5" t="str">
        <f>IF(Calc_Helper!N69="","Unknown",Calc_Helper!N69)</f>
        <v>December</v>
      </c>
      <c r="R69" s="17">
        <f>IFERROR(IF(ISNUMBER(Clean_Data!L69),Clean_Data!L69,0),0)</f>
        <v>0</v>
      </c>
      <c r="S69" s="18">
        <f>IFERROR(IF(ISNUMBER(Clean_Data!M69),Clean_Data!M69,0),0)</f>
        <v>32.9</v>
      </c>
      <c r="T69" s="16">
        <f>IF(Clean_Data!N69="","",IFERROR(IF(ISNUMBER(Clean_Data!N69),Clean_Data!N69,""),""))</f>
        <v>0</v>
      </c>
      <c r="U69" s="18">
        <f>IFERROR(IF(ISNUMBER(Clean_Data!O69),Clean_Data!O69,0),0)</f>
        <v>-32.9</v>
      </c>
      <c r="V69" s="5">
        <f ca="1">IFERROR(IF(ISNUMBER(Calc_Helper!E69),Calc_Helper!E69,0),0)</f>
        <v>498</v>
      </c>
      <c r="W69" s="5">
        <f ca="1">IFERROR(IF(ISNUMBER(Calc_Helper!F69),Calc_Helper!F69,0),0)</f>
        <v>488</v>
      </c>
      <c r="X69" s="5">
        <f>IFERROR(IF(ISNUMBER(Calc_Helper!G69),Calc_Helper!G69,0),0)</f>
        <v>0</v>
      </c>
      <c r="Y69" s="5">
        <f ca="1">IFERROR(IF(ISNUMBER(Calc_Helper!H69),Calc_Helper!H69,0),0)</f>
        <v>498</v>
      </c>
      <c r="Z69" s="20" t="b">
        <f>Calc_Helper!B69</f>
        <v>0</v>
      </c>
      <c r="AA69" s="5">
        <f>IF(Calc_Helper!B69=TRUE(),1,0)</f>
        <v>0</v>
      </c>
      <c r="AB69" s="20" t="b">
        <f>Calc_Helper!C69</f>
        <v>1</v>
      </c>
      <c r="AC69" s="5">
        <f>IF(Calc_Helper!C69=TRUE(),1,0)</f>
        <v>1</v>
      </c>
      <c r="AD69" s="20" t="b">
        <f ca="1">Calc_Helper!D69</f>
        <v>1</v>
      </c>
      <c r="AE69" s="5">
        <f ca="1">IF(Calc_Helper!D69=TRUE(),1,0)</f>
        <v>1</v>
      </c>
      <c r="AF69" s="20" t="b">
        <f ca="1">Calc_Helper!O69</f>
        <v>1</v>
      </c>
      <c r="AG69" s="5">
        <f ca="1">IF(Calc_Helper!O69=TRUE(),1,0)</f>
        <v>1</v>
      </c>
      <c r="AH69" s="20" t="b">
        <f>Calc_Helper!P69</f>
        <v>0</v>
      </c>
      <c r="AI69" s="5">
        <f>IF(Calc_Helper!P69=TRUE(),1,0)</f>
        <v>0</v>
      </c>
      <c r="AJ69" s="20" t="b">
        <f ca="1">Calc_Helper!Q69</f>
        <v>0</v>
      </c>
      <c r="AK69" s="5">
        <f ca="1">IF(Calc_Helper!Q69=TRUE(),1,0)</f>
        <v>0</v>
      </c>
      <c r="AL69" s="20" t="b">
        <f ca="1">Calc_Helper!R69</f>
        <v>0</v>
      </c>
      <c r="AM69" s="5">
        <f ca="1">IF(Calc_Helper!R69=TRUE(),1,0)</f>
        <v>0</v>
      </c>
      <c r="AN69" s="5" t="str">
        <f>IF(Calc_Helper!S69="","Unknown",Calc_Helper!S69)</f>
        <v>N/A</v>
      </c>
      <c r="AO69" s="5">
        <f>IF(OR(Calc_Helper!S69="Healthy",Calc_Helper!S69="On Track"),1,0)</f>
        <v>0</v>
      </c>
      <c r="AP69" s="5" t="str">
        <f>IFERROR(IF(Calc_Helper!T69="","",Calc_Helper!T69),"")</f>
        <v/>
      </c>
      <c r="AQ69" s="5">
        <f>IF(Calc_Helper!T69=TRUE(),1,0)</f>
        <v>0</v>
      </c>
    </row>
    <row r="70" spans="1:43" x14ac:dyDescent="0.3">
      <c r="A70" s="2" t="str">
        <f>IF(Clean_Data!A70="","Unknown",Clean_Data!A70)</f>
        <v>TSK-0069</v>
      </c>
      <c r="B70" s="2" t="str">
        <f>IF(Clean_Data!B70="","Unknown",Clean_Data!B70)</f>
        <v>Supply Chain Optimization</v>
      </c>
      <c r="C70" s="2" t="str">
        <f>IF(Clean_Data!C70="","Unknown",Clean_Data!C70)</f>
        <v>IT</v>
      </c>
      <c r="D70" s="2" t="str">
        <f>IF(Clean_Data!D70="","Unknown",Clean_Data!D70)</f>
        <v>Ananya Das</v>
      </c>
      <c r="E70" s="2" t="str">
        <f>IF(Clean_Data!E70="","Unknown",Clean_Data!E70)</f>
        <v>Analyst</v>
      </c>
      <c r="F70" s="2" t="str">
        <f>IF(Clean_Data!F70="","Unknown",Clean_Data!F70)</f>
        <v>High</v>
      </c>
      <c r="G70" s="2" t="str">
        <f>IF(Clean_Data!G70="","Unknown",Clean_Data!G70)</f>
        <v>Planning</v>
      </c>
      <c r="H70" s="2" t="str">
        <f>IF(Clean_Data!K70="","Unknown",Clean_Data!K70)</f>
        <v>Completed</v>
      </c>
      <c r="I70" s="10">
        <f>Clean_Data!H70</f>
        <v>45412</v>
      </c>
      <c r="J70" s="10">
        <f>Clean_Data!I70</f>
        <v>45464</v>
      </c>
      <c r="K70" s="10">
        <f>Clean_Data!J70</f>
        <v>45467</v>
      </c>
      <c r="L70" s="2" t="str">
        <f>IF(Calc_Helper!I70="","Unknown",Calc_Helper!I70)</f>
        <v>2024-06</v>
      </c>
      <c r="M70" s="2" t="str">
        <f>IF(Calc_Helper!J70="","Unknown",Calc_Helper!J70)</f>
        <v>2024-04</v>
      </c>
      <c r="N70" s="19" t="str">
        <f>IF(Calc_Helper!K70="","",Calc_Helper!K70)</f>
        <v>2024-06</v>
      </c>
      <c r="O70" s="2">
        <f>IFERROR(Calc_Helper!L70,"")</f>
        <v>2024</v>
      </c>
      <c r="P70" s="2">
        <f>IFERROR(Calc_Helper!M70,"")</f>
        <v>4</v>
      </c>
      <c r="Q70" s="2" t="str">
        <f>IF(Calc_Helper!N70="","Unknown",Calc_Helper!N70)</f>
        <v>April</v>
      </c>
      <c r="R70" s="15">
        <f>IFERROR(IF(ISNUMBER(Clean_Data!L70),Clean_Data!L70,0),0)</f>
        <v>1</v>
      </c>
      <c r="S70" s="16">
        <f>IFERROR(IF(ISNUMBER(Clean_Data!M70),Clean_Data!M70,0),0)</f>
        <v>61.8</v>
      </c>
      <c r="T70" s="16">
        <f>IF(Clean_Data!N70="","",IFERROR(IF(ISNUMBER(Clean_Data!N70),Clean_Data!N70,""),""))</f>
        <v>75</v>
      </c>
      <c r="U70" s="16">
        <f>IFERROR(IF(ISNUMBER(Clean_Data!O70),Clean_Data!O70,0),0)</f>
        <v>13.200000000000003</v>
      </c>
      <c r="V70" s="2">
        <f ca="1">IFERROR(IF(ISNUMBER(Calc_Helper!E70),Calc_Helper!E70,0),0)</f>
        <v>0</v>
      </c>
      <c r="W70" s="2">
        <f ca="1">IFERROR(IF(ISNUMBER(Calc_Helper!F70),Calc_Helper!F70,0),0)</f>
        <v>3</v>
      </c>
      <c r="X70" s="2">
        <f>IFERROR(IF(ISNUMBER(Calc_Helper!G70),Calc_Helper!G70,0),0)</f>
        <v>55</v>
      </c>
      <c r="Y70" s="2">
        <f ca="1">IFERROR(IF(ISNUMBER(Calc_Helper!H70),Calc_Helper!H70,0),0)</f>
        <v>55</v>
      </c>
      <c r="Z70" s="19" t="b">
        <f>Calc_Helper!B70</f>
        <v>1</v>
      </c>
      <c r="AA70" s="2">
        <f>IF(Calc_Helper!B70=TRUE(),1,0)</f>
        <v>1</v>
      </c>
      <c r="AB70" s="19" t="b">
        <f>Calc_Helper!C70</f>
        <v>0</v>
      </c>
      <c r="AC70" s="2">
        <f>IF(Calc_Helper!C70=TRUE(),1,0)</f>
        <v>0</v>
      </c>
      <c r="AD70" s="19" t="b">
        <f ca="1">Calc_Helper!D70</f>
        <v>0</v>
      </c>
      <c r="AE70" s="2">
        <f ca="1">IF(Calc_Helper!D70=TRUE(),1,0)</f>
        <v>0</v>
      </c>
      <c r="AF70" s="19" t="b">
        <f ca="1">Calc_Helper!O70</f>
        <v>0</v>
      </c>
      <c r="AG70" s="2">
        <f ca="1">IF(Calc_Helper!O70=TRUE(),1,0)</f>
        <v>0</v>
      </c>
      <c r="AH70" s="19" t="b">
        <f>Calc_Helper!P70</f>
        <v>0</v>
      </c>
      <c r="AI70" s="2">
        <f>IF(Calc_Helper!P70=TRUE(),1,0)</f>
        <v>0</v>
      </c>
      <c r="AJ70" s="19" t="b">
        <f ca="1">Calc_Helper!Q70</f>
        <v>0</v>
      </c>
      <c r="AK70" s="2">
        <f ca="1">IF(Calc_Helper!Q70=TRUE(),1,0)</f>
        <v>0</v>
      </c>
      <c r="AL70" s="19" t="b">
        <f ca="1">Calc_Helper!R70</f>
        <v>0</v>
      </c>
      <c r="AM70" s="2">
        <f ca="1">IF(Calc_Helper!R70=TRUE(),1,0)</f>
        <v>0</v>
      </c>
      <c r="AN70" s="2" t="str">
        <f>IF(Calc_Helper!S70="","Unknown",Calc_Helper!S70)</f>
        <v>Over Budget</v>
      </c>
      <c r="AO70" s="2">
        <f>IF(OR(Calc_Helper!S70="Healthy",Calc_Helper!S70="On Track"),1,0)</f>
        <v>0</v>
      </c>
      <c r="AP70" s="19" t="b">
        <f>IFERROR(IF(Calc_Helper!T70="","",Calc_Helper!T70),"")</f>
        <v>0</v>
      </c>
      <c r="AQ70" s="2">
        <f>IF(Calc_Helper!T70=TRUE(),1,0)</f>
        <v>0</v>
      </c>
    </row>
    <row r="71" spans="1:43" x14ac:dyDescent="0.3">
      <c r="A71" s="5" t="str">
        <f>IF(Clean_Data!A71="","Unknown",Clean_Data!A71)</f>
        <v>TSK-0070</v>
      </c>
      <c r="B71" s="5" t="str">
        <f>IF(Clean_Data!B71="","Unknown",Clean_Data!B71)</f>
        <v>Employee Onboarding</v>
      </c>
      <c r="C71" s="5" t="str">
        <f>IF(Clean_Data!C71="","Unknown",Clean_Data!C71)</f>
        <v>IT</v>
      </c>
      <c r="D71" s="5" t="str">
        <f>IF(Clean_Data!D71="","Unknown",Clean_Data!D71)</f>
        <v>Rahul Sharma</v>
      </c>
      <c r="E71" s="5" t="str">
        <f>IF(Clean_Data!E71="","Unknown",Clean_Data!E71)</f>
        <v>Designer</v>
      </c>
      <c r="F71" s="5" t="str">
        <f>IF(Clean_Data!F71="","Unknown",Clean_Data!F71)</f>
        <v>Critical</v>
      </c>
      <c r="G71" s="5" t="str">
        <f>IF(Clean_Data!G71="","Unknown",Clean_Data!G71)</f>
        <v>Development</v>
      </c>
      <c r="H71" s="5" t="str">
        <f>IF(Clean_Data!K71="","Unknown",Clean_Data!K71)</f>
        <v>Not Started</v>
      </c>
      <c r="I71" s="13">
        <f>Clean_Data!H71</f>
        <v>45446</v>
      </c>
      <c r="J71" s="13">
        <f>Clean_Data!I71</f>
        <v>45473</v>
      </c>
      <c r="K71" s="13" t="str">
        <f>Clean_Data!J71</f>
        <v/>
      </c>
      <c r="L71" s="5" t="str">
        <f>IF(Calc_Helper!I71="","Unknown",Calc_Helper!I71)</f>
        <v>2024-06</v>
      </c>
      <c r="M71" s="5" t="str">
        <f>IF(Calc_Helper!J71="","Unknown",Calc_Helper!J71)</f>
        <v>2024-06</v>
      </c>
      <c r="N71" s="19" t="str">
        <f>IF(Calc_Helper!K71="","",Calc_Helper!K71)</f>
        <v/>
      </c>
      <c r="O71" s="5">
        <f>IFERROR(Calc_Helper!L71,"")</f>
        <v>2024</v>
      </c>
      <c r="P71" s="5">
        <f>IFERROR(Calc_Helper!M71,"")</f>
        <v>6</v>
      </c>
      <c r="Q71" s="5" t="str">
        <f>IF(Calc_Helper!N71="","Unknown",Calc_Helper!N71)</f>
        <v>June</v>
      </c>
      <c r="R71" s="17">
        <f>IFERROR(IF(ISNUMBER(Clean_Data!L71),Clean_Data!L71,0),0)</f>
        <v>0</v>
      </c>
      <c r="S71" s="18">
        <f>IFERROR(IF(ISNUMBER(Clean_Data!M71),Clean_Data!M71,0),0)</f>
        <v>15.1</v>
      </c>
      <c r="T71" s="16" t="str">
        <f>IF(Clean_Data!N71="","",IFERROR(IF(ISNUMBER(Clean_Data!N71),Clean_Data!N71,""),""))</f>
        <v/>
      </c>
      <c r="U71" s="18">
        <f>IFERROR(IF(ISNUMBER(Clean_Data!O71),Clean_Data!O71,0),0)</f>
        <v>0</v>
      </c>
      <c r="V71" s="5">
        <f ca="1">IFERROR(IF(ISNUMBER(Calc_Helper!E71),Calc_Helper!E71,0),0)</f>
        <v>680</v>
      </c>
      <c r="W71" s="5">
        <f ca="1">IFERROR(IF(ISNUMBER(Calc_Helper!F71),Calc_Helper!F71,0),0)</f>
        <v>653</v>
      </c>
      <c r="X71" s="5">
        <f>IFERROR(IF(ISNUMBER(Calc_Helper!G71),Calc_Helper!G71,0),0)</f>
        <v>0</v>
      </c>
      <c r="Y71" s="5">
        <f ca="1">IFERROR(IF(ISNUMBER(Calc_Helper!H71),Calc_Helper!H71,0),0)</f>
        <v>680</v>
      </c>
      <c r="Z71" s="20" t="b">
        <f>Calc_Helper!B71</f>
        <v>0</v>
      </c>
      <c r="AA71" s="5">
        <f>IF(Calc_Helper!B71=TRUE(),1,0)</f>
        <v>0</v>
      </c>
      <c r="AB71" s="20" t="b">
        <f>Calc_Helper!C71</f>
        <v>1</v>
      </c>
      <c r="AC71" s="5">
        <f>IF(Calc_Helper!C71=TRUE(),1,0)</f>
        <v>1</v>
      </c>
      <c r="AD71" s="20" t="b">
        <f ca="1">Calc_Helper!D71</f>
        <v>1</v>
      </c>
      <c r="AE71" s="5">
        <f ca="1">IF(Calc_Helper!D71=TRUE(),1,0)</f>
        <v>1</v>
      </c>
      <c r="AF71" s="20" t="b">
        <f ca="1">Calc_Helper!O71</f>
        <v>1</v>
      </c>
      <c r="AG71" s="5">
        <f ca="1">IF(Calc_Helper!O71=TRUE(),1,0)</f>
        <v>1</v>
      </c>
      <c r="AH71" s="20" t="b">
        <f>Calc_Helper!P71</f>
        <v>1</v>
      </c>
      <c r="AI71" s="5">
        <f>IF(Calc_Helper!P71=TRUE(),1,0)</f>
        <v>1</v>
      </c>
      <c r="AJ71" s="20" t="b">
        <f ca="1">Calc_Helper!Q71</f>
        <v>1</v>
      </c>
      <c r="AK71" s="5">
        <f ca="1">IF(Calc_Helper!Q71=TRUE(),1,0)</f>
        <v>1</v>
      </c>
      <c r="AL71" s="20" t="b">
        <f ca="1">Calc_Helper!R71</f>
        <v>0</v>
      </c>
      <c r="AM71" s="5">
        <f ca="1">IF(Calc_Helper!R71=TRUE(),1,0)</f>
        <v>0</v>
      </c>
      <c r="AN71" s="5" t="str">
        <f>IF(Calc_Helper!S71="","Unknown",Calc_Helper!S71)</f>
        <v>N/A</v>
      </c>
      <c r="AO71" s="5">
        <f>IF(OR(Calc_Helper!S71="Healthy",Calc_Helper!S71="On Track"),1,0)</f>
        <v>0</v>
      </c>
      <c r="AP71" s="5" t="str">
        <f>IFERROR(IF(Calc_Helper!T71="","",Calc_Helper!T71),"")</f>
        <v/>
      </c>
      <c r="AQ71" s="5">
        <f>IF(Calc_Helper!T71=TRUE(),1,0)</f>
        <v>0</v>
      </c>
    </row>
    <row r="72" spans="1:43" x14ac:dyDescent="0.3">
      <c r="A72" s="2" t="str">
        <f>IF(Clean_Data!A72="","Unknown",Clean_Data!A72)</f>
        <v>TSK-0071</v>
      </c>
      <c r="B72" s="2" t="str">
        <f>IF(Clean_Data!B72="","Unknown",Clean_Data!B72)</f>
        <v>Annual Audit</v>
      </c>
      <c r="C72" s="2" t="str">
        <f>IF(Clean_Data!C72="","Unknown",Clean_Data!C72)</f>
        <v>Finance</v>
      </c>
      <c r="D72" s="2" t="str">
        <f>IF(Clean_Data!D72="","Unknown",Clean_Data!D72)</f>
        <v>Amit Verma</v>
      </c>
      <c r="E72" s="2" t="str">
        <f>IF(Clean_Data!E72="","Unknown",Clean_Data!E72)</f>
        <v>Analyst</v>
      </c>
      <c r="F72" s="2" t="str">
        <f>IF(Clean_Data!F72="","Unknown",Clean_Data!F72)</f>
        <v>Low</v>
      </c>
      <c r="G72" s="2" t="str">
        <f>IF(Clean_Data!G72="","Unknown",Clean_Data!G72)</f>
        <v>Review</v>
      </c>
      <c r="H72" s="2" t="str">
        <f>IF(Clean_Data!K72="","Unknown",Clean_Data!K72)</f>
        <v>In Progress</v>
      </c>
      <c r="I72" s="10">
        <f>Clean_Data!H72</f>
        <v>45613</v>
      </c>
      <c r="J72" s="10">
        <f>Clean_Data!I72</f>
        <v>45661</v>
      </c>
      <c r="K72" s="10" t="str">
        <f>Clean_Data!J72</f>
        <v/>
      </c>
      <c r="L72" s="2" t="str">
        <f>IF(Calc_Helper!I72="","Unknown",Calc_Helper!I72)</f>
        <v>2025-01</v>
      </c>
      <c r="M72" s="2" t="str">
        <f>IF(Calc_Helper!J72="","Unknown",Calc_Helper!J72)</f>
        <v>2024-11</v>
      </c>
      <c r="N72" s="19" t="str">
        <f>IF(Calc_Helper!K72="","",Calc_Helper!K72)</f>
        <v/>
      </c>
      <c r="O72" s="2">
        <f>IFERROR(Calc_Helper!L72,"")</f>
        <v>2024</v>
      </c>
      <c r="P72" s="2">
        <f>IFERROR(Calc_Helper!M72,"")</f>
        <v>11</v>
      </c>
      <c r="Q72" s="2" t="str">
        <f>IF(Calc_Helper!N72="","Unknown",Calc_Helper!N72)</f>
        <v>November</v>
      </c>
      <c r="R72" s="15">
        <f>IFERROR(IF(ISNUMBER(Clean_Data!L72),Clean_Data!L72,0),0)</f>
        <v>0.78</v>
      </c>
      <c r="S72" s="16">
        <f>IFERROR(IF(ISNUMBER(Clean_Data!M72),Clean_Data!M72,0),0)</f>
        <v>21.6</v>
      </c>
      <c r="T72" s="16">
        <f>IF(Clean_Data!N72="","",IFERROR(IF(ISNUMBER(Clean_Data!N72),Clean_Data!N72,""),""))</f>
        <v>10</v>
      </c>
      <c r="U72" s="16">
        <f>IFERROR(IF(ISNUMBER(Clean_Data!O72),Clean_Data!O72,0),0)</f>
        <v>-11.600000000000001</v>
      </c>
      <c r="V72" s="2">
        <f ca="1">IFERROR(IF(ISNUMBER(Calc_Helper!E72),Calc_Helper!E72,0),0)</f>
        <v>513</v>
      </c>
      <c r="W72" s="2">
        <f ca="1">IFERROR(IF(ISNUMBER(Calc_Helper!F72),Calc_Helper!F72,0),0)</f>
        <v>465</v>
      </c>
      <c r="X72" s="2">
        <f>IFERROR(IF(ISNUMBER(Calc_Helper!G72),Calc_Helper!G72,0),0)</f>
        <v>0</v>
      </c>
      <c r="Y72" s="2">
        <f ca="1">IFERROR(IF(ISNUMBER(Calc_Helper!H72),Calc_Helper!H72,0),0)</f>
        <v>513</v>
      </c>
      <c r="Z72" s="19" t="b">
        <f>Calc_Helper!B72</f>
        <v>0</v>
      </c>
      <c r="AA72" s="2">
        <f>IF(Calc_Helper!B72=TRUE(),1,0)</f>
        <v>0</v>
      </c>
      <c r="AB72" s="19" t="b">
        <f>Calc_Helper!C72</f>
        <v>1</v>
      </c>
      <c r="AC72" s="2">
        <f>IF(Calc_Helper!C72=TRUE(),1,0)</f>
        <v>1</v>
      </c>
      <c r="AD72" s="19" t="b">
        <f ca="1">Calc_Helper!D72</f>
        <v>1</v>
      </c>
      <c r="AE72" s="2">
        <f ca="1">IF(Calc_Helper!D72=TRUE(),1,0)</f>
        <v>1</v>
      </c>
      <c r="AF72" s="19" t="b">
        <f ca="1">Calc_Helper!O72</f>
        <v>1</v>
      </c>
      <c r="AG72" s="2">
        <f ca="1">IF(Calc_Helper!O72=TRUE(),1,0)</f>
        <v>1</v>
      </c>
      <c r="AH72" s="19" t="b">
        <f>Calc_Helper!P72</f>
        <v>0</v>
      </c>
      <c r="AI72" s="2">
        <f>IF(Calc_Helper!P72=TRUE(),1,0)</f>
        <v>0</v>
      </c>
      <c r="AJ72" s="19" t="b">
        <f ca="1">Calc_Helper!Q72</f>
        <v>0</v>
      </c>
      <c r="AK72" s="2">
        <f ca="1">IF(Calc_Helper!Q72=TRUE(),1,0)</f>
        <v>0</v>
      </c>
      <c r="AL72" s="19" t="b">
        <f ca="1">Calc_Helper!R72</f>
        <v>1</v>
      </c>
      <c r="AM72" s="2">
        <f ca="1">IF(Calc_Helper!R72=TRUE(),1,0)</f>
        <v>1</v>
      </c>
      <c r="AN72" s="2" t="str">
        <f>IF(Calc_Helper!S72="","Unknown",Calc_Helper!S72)</f>
        <v>On Track</v>
      </c>
      <c r="AO72" s="2">
        <f>IF(OR(Calc_Helper!S72="Healthy",Calc_Helper!S72="On Track"),1,0)</f>
        <v>1</v>
      </c>
      <c r="AP72" s="2" t="str">
        <f>IFERROR(IF(Calc_Helper!T72="","",Calc_Helper!T72),"")</f>
        <v/>
      </c>
      <c r="AQ72" s="2">
        <f>IF(Calc_Helper!T72=TRUE(),1,0)</f>
        <v>0</v>
      </c>
    </row>
    <row r="73" spans="1:43" x14ac:dyDescent="0.3">
      <c r="A73" s="5" t="str">
        <f>IF(Clean_Data!A73="","Unknown",Clean_Data!A73)</f>
        <v>TSK-0072</v>
      </c>
      <c r="B73" s="5" t="str">
        <f>IF(Clean_Data!B73="","Unknown",Clean_Data!B73)</f>
        <v>Data Analytics Platform</v>
      </c>
      <c r="C73" s="5" t="str">
        <f>IF(Clean_Data!C73="","Unknown",Clean_Data!C73)</f>
        <v>HR</v>
      </c>
      <c r="D73" s="5" t="str">
        <f>IF(Clean_Data!D73="","Unknown",Clean_Data!D73)</f>
        <v>Rohan Iyer</v>
      </c>
      <c r="E73" s="5" t="str">
        <f>IF(Clean_Data!E73="","Unknown",Clean_Data!E73)</f>
        <v>Developer</v>
      </c>
      <c r="F73" s="5" t="str">
        <f>IF(Clean_Data!F73="","Unknown",Clean_Data!F73)</f>
        <v>High</v>
      </c>
      <c r="G73" s="5" t="str">
        <f>IF(Clean_Data!G73="","Unknown",Clean_Data!G73)</f>
        <v>Documentation</v>
      </c>
      <c r="H73" s="5" t="str">
        <f>IF(Clean_Data!K73="","Unknown",Clean_Data!K73)</f>
        <v>Not Started</v>
      </c>
      <c r="I73" s="13">
        <f>Clean_Data!H73</f>
        <v>45472</v>
      </c>
      <c r="J73" s="13">
        <f>Clean_Data!I73</f>
        <v>45514</v>
      </c>
      <c r="K73" s="13" t="str">
        <f>Clean_Data!J73</f>
        <v/>
      </c>
      <c r="L73" s="5" t="str">
        <f>IF(Calc_Helper!I73="","Unknown",Calc_Helper!I73)</f>
        <v>2024-08</v>
      </c>
      <c r="M73" s="5" t="str">
        <f>IF(Calc_Helper!J73="","Unknown",Calc_Helper!J73)</f>
        <v>2024-06</v>
      </c>
      <c r="N73" s="19" t="str">
        <f>IF(Calc_Helper!K73="","",Calc_Helper!K73)</f>
        <v/>
      </c>
      <c r="O73" s="5">
        <f>IFERROR(Calc_Helper!L73,"")</f>
        <v>2024</v>
      </c>
      <c r="P73" s="5">
        <f>IFERROR(Calc_Helper!M73,"")</f>
        <v>6</v>
      </c>
      <c r="Q73" s="5" t="str">
        <f>IF(Calc_Helper!N73="","Unknown",Calc_Helper!N73)</f>
        <v>June</v>
      </c>
      <c r="R73" s="17">
        <f>IFERROR(IF(ISNUMBER(Clean_Data!L73),Clean_Data!L73,0),0)</f>
        <v>0</v>
      </c>
      <c r="S73" s="18">
        <f>IFERROR(IF(ISNUMBER(Clean_Data!M73),Clean_Data!M73,0),0)</f>
        <v>56.5</v>
      </c>
      <c r="T73" s="16">
        <f>IF(Clean_Data!N73="","",IFERROR(IF(ISNUMBER(Clean_Data!N73),Clean_Data!N73,""),""))</f>
        <v>0</v>
      </c>
      <c r="U73" s="18">
        <f>IFERROR(IF(ISNUMBER(Clean_Data!O73),Clean_Data!O73,0),0)</f>
        <v>-56.5</v>
      </c>
      <c r="V73" s="5">
        <f ca="1">IFERROR(IF(ISNUMBER(Calc_Helper!E73),Calc_Helper!E73,0),0)</f>
        <v>654</v>
      </c>
      <c r="W73" s="5">
        <f ca="1">IFERROR(IF(ISNUMBER(Calc_Helper!F73),Calc_Helper!F73,0),0)</f>
        <v>612</v>
      </c>
      <c r="X73" s="5">
        <f>IFERROR(IF(ISNUMBER(Calc_Helper!G73),Calc_Helper!G73,0),0)</f>
        <v>0</v>
      </c>
      <c r="Y73" s="5">
        <f ca="1">IFERROR(IF(ISNUMBER(Calc_Helper!H73),Calc_Helper!H73,0),0)</f>
        <v>654</v>
      </c>
      <c r="Z73" s="20" t="b">
        <f>Calc_Helper!B73</f>
        <v>0</v>
      </c>
      <c r="AA73" s="5">
        <f>IF(Calc_Helper!B73=TRUE(),1,0)</f>
        <v>0</v>
      </c>
      <c r="AB73" s="20" t="b">
        <f>Calc_Helper!C73</f>
        <v>1</v>
      </c>
      <c r="AC73" s="5">
        <f>IF(Calc_Helper!C73=TRUE(),1,0)</f>
        <v>1</v>
      </c>
      <c r="AD73" s="20" t="b">
        <f ca="1">Calc_Helper!D73</f>
        <v>1</v>
      </c>
      <c r="AE73" s="5">
        <f ca="1">IF(Calc_Helper!D73=TRUE(),1,0)</f>
        <v>1</v>
      </c>
      <c r="AF73" s="20" t="b">
        <f ca="1">Calc_Helper!O73</f>
        <v>1</v>
      </c>
      <c r="AG73" s="5">
        <f ca="1">IF(Calc_Helper!O73=TRUE(),1,0)</f>
        <v>1</v>
      </c>
      <c r="AH73" s="20" t="b">
        <f>Calc_Helper!P73</f>
        <v>1</v>
      </c>
      <c r="AI73" s="5">
        <f>IF(Calc_Helper!P73=TRUE(),1,0)</f>
        <v>1</v>
      </c>
      <c r="AJ73" s="20" t="b">
        <f ca="1">Calc_Helper!Q73</f>
        <v>1</v>
      </c>
      <c r="AK73" s="5">
        <f ca="1">IF(Calc_Helper!Q73=TRUE(),1,0)</f>
        <v>1</v>
      </c>
      <c r="AL73" s="20" t="b">
        <f ca="1">Calc_Helper!R73</f>
        <v>0</v>
      </c>
      <c r="AM73" s="5">
        <f ca="1">IF(Calc_Helper!R73=TRUE(),1,0)</f>
        <v>0</v>
      </c>
      <c r="AN73" s="5" t="str">
        <f>IF(Calc_Helper!S73="","Unknown",Calc_Helper!S73)</f>
        <v>N/A</v>
      </c>
      <c r="AO73" s="5">
        <f>IF(OR(Calc_Helper!S73="Healthy",Calc_Helper!S73="On Track"),1,0)</f>
        <v>0</v>
      </c>
      <c r="AP73" s="5" t="str">
        <f>IFERROR(IF(Calc_Helper!T73="","",Calc_Helper!T73),"")</f>
        <v/>
      </c>
      <c r="AQ73" s="5">
        <f>IF(Calc_Helper!T73=TRUE(),1,0)</f>
        <v>0</v>
      </c>
    </row>
    <row r="74" spans="1:43" x14ac:dyDescent="0.3">
      <c r="A74" s="2" t="str">
        <f>IF(Clean_Data!A74="","Unknown",Clean_Data!A74)</f>
        <v>TSK-0073</v>
      </c>
      <c r="B74" s="2" t="str">
        <f>IF(Clean_Data!B74="","Unknown",Clean_Data!B74)</f>
        <v>Marketing Campaign</v>
      </c>
      <c r="C74" s="2" t="str">
        <f>IF(Clean_Data!C74="","Unknown",Clean_Data!C74)</f>
        <v>Sales</v>
      </c>
      <c r="D74" s="2" t="str">
        <f>IF(Clean_Data!D74="","Unknown",Clean_Data!D74)</f>
        <v>Priya Patel</v>
      </c>
      <c r="E74" s="2" t="str">
        <f>IF(Clean_Data!E74="","Unknown",Clean_Data!E74)</f>
        <v>Manager</v>
      </c>
      <c r="F74" s="2" t="str">
        <f>IF(Clean_Data!F74="","Unknown",Clean_Data!F74)</f>
        <v>Medium</v>
      </c>
      <c r="G74" s="2" t="str">
        <f>IF(Clean_Data!G74="","Unknown",Clean_Data!G74)</f>
        <v>Review</v>
      </c>
      <c r="H74" s="2" t="str">
        <f>IF(Clean_Data!K74="","Unknown",Clean_Data!K74)</f>
        <v>Not Started</v>
      </c>
      <c r="I74" s="10">
        <f>Clean_Data!H74</f>
        <v>45590</v>
      </c>
      <c r="J74" s="10">
        <f>Clean_Data!I74</f>
        <v>45613</v>
      </c>
      <c r="K74" s="10" t="str">
        <f>Clean_Data!J74</f>
        <v/>
      </c>
      <c r="L74" s="2" t="str">
        <f>IF(Calc_Helper!I74="","Unknown",Calc_Helper!I74)</f>
        <v>2024-11</v>
      </c>
      <c r="M74" s="2" t="str">
        <f>IF(Calc_Helper!J74="","Unknown",Calc_Helper!J74)</f>
        <v>2024-10</v>
      </c>
      <c r="N74" s="19" t="str">
        <f>IF(Calc_Helper!K74="","",Calc_Helper!K74)</f>
        <v/>
      </c>
      <c r="O74" s="2">
        <f>IFERROR(Calc_Helper!L74,"")</f>
        <v>2024</v>
      </c>
      <c r="P74" s="2">
        <f>IFERROR(Calc_Helper!M74,"")</f>
        <v>10</v>
      </c>
      <c r="Q74" s="2" t="str">
        <f>IF(Calc_Helper!N74="","Unknown",Calc_Helper!N74)</f>
        <v>October</v>
      </c>
      <c r="R74" s="15">
        <f>IFERROR(IF(ISNUMBER(Clean_Data!L74),Clean_Data!L74,0),0)</f>
        <v>0</v>
      </c>
      <c r="S74" s="16">
        <f>IFERROR(IF(ISNUMBER(Clean_Data!M74),Clean_Data!M74,0),0)</f>
        <v>78.3</v>
      </c>
      <c r="T74" s="16" t="str">
        <f>IF(Clean_Data!N74="","",IFERROR(IF(ISNUMBER(Clean_Data!N74),Clean_Data!N74,""),""))</f>
        <v/>
      </c>
      <c r="U74" s="16">
        <f>IFERROR(IF(ISNUMBER(Clean_Data!O74),Clean_Data!O74,0),0)</f>
        <v>0</v>
      </c>
      <c r="V74" s="2">
        <f ca="1">IFERROR(IF(ISNUMBER(Calc_Helper!E74),Calc_Helper!E74,0),0)</f>
        <v>536</v>
      </c>
      <c r="W74" s="2">
        <f ca="1">IFERROR(IF(ISNUMBER(Calc_Helper!F74),Calc_Helper!F74,0),0)</f>
        <v>513</v>
      </c>
      <c r="X74" s="2">
        <f>IFERROR(IF(ISNUMBER(Calc_Helper!G74),Calc_Helper!G74,0),0)</f>
        <v>0</v>
      </c>
      <c r="Y74" s="2">
        <f ca="1">IFERROR(IF(ISNUMBER(Calc_Helper!H74),Calc_Helper!H74,0),0)</f>
        <v>536</v>
      </c>
      <c r="Z74" s="19" t="b">
        <f>Calc_Helper!B74</f>
        <v>0</v>
      </c>
      <c r="AA74" s="2">
        <f>IF(Calc_Helper!B74=TRUE(),1,0)</f>
        <v>0</v>
      </c>
      <c r="AB74" s="19" t="b">
        <f>Calc_Helper!C74</f>
        <v>1</v>
      </c>
      <c r="AC74" s="2">
        <f>IF(Calc_Helper!C74=TRUE(),1,0)</f>
        <v>1</v>
      </c>
      <c r="AD74" s="19" t="b">
        <f ca="1">Calc_Helper!D74</f>
        <v>1</v>
      </c>
      <c r="AE74" s="2">
        <f ca="1">IF(Calc_Helper!D74=TRUE(),1,0)</f>
        <v>1</v>
      </c>
      <c r="AF74" s="19" t="b">
        <f ca="1">Calc_Helper!O74</f>
        <v>1</v>
      </c>
      <c r="AG74" s="2">
        <f ca="1">IF(Calc_Helper!O74=TRUE(),1,0)</f>
        <v>1</v>
      </c>
      <c r="AH74" s="19" t="b">
        <f>Calc_Helper!P74</f>
        <v>0</v>
      </c>
      <c r="AI74" s="2">
        <f>IF(Calc_Helper!P74=TRUE(),1,0)</f>
        <v>0</v>
      </c>
      <c r="AJ74" s="19" t="b">
        <f ca="1">Calc_Helper!Q74</f>
        <v>0</v>
      </c>
      <c r="AK74" s="2">
        <f ca="1">IF(Calc_Helper!Q74=TRUE(),1,0)</f>
        <v>0</v>
      </c>
      <c r="AL74" s="19" t="b">
        <f ca="1">Calc_Helper!R74</f>
        <v>0</v>
      </c>
      <c r="AM74" s="2">
        <f ca="1">IF(Calc_Helper!R74=TRUE(),1,0)</f>
        <v>0</v>
      </c>
      <c r="AN74" s="2" t="str">
        <f>IF(Calc_Helper!S74="","Unknown",Calc_Helper!S74)</f>
        <v>N/A</v>
      </c>
      <c r="AO74" s="2">
        <f>IF(OR(Calc_Helper!S74="Healthy",Calc_Helper!S74="On Track"),1,0)</f>
        <v>0</v>
      </c>
      <c r="AP74" s="2" t="str">
        <f>IFERROR(IF(Calc_Helper!T74="","",Calc_Helper!T74),"")</f>
        <v/>
      </c>
      <c r="AQ74" s="2">
        <f>IF(Calc_Helper!T74=TRUE(),1,0)</f>
        <v>0</v>
      </c>
    </row>
    <row r="75" spans="1:43" x14ac:dyDescent="0.3">
      <c r="A75" s="5" t="str">
        <f>IF(Clean_Data!A75="","Unknown",Clean_Data!A75)</f>
        <v>TSK-0074</v>
      </c>
      <c r="B75" s="5" t="str">
        <f>IF(Clean_Data!B75="","Unknown",Clean_Data!B75)</f>
        <v>Website Redesign</v>
      </c>
      <c r="C75" s="5" t="str">
        <f>IF(Clean_Data!C75="","Unknown",Clean_Data!C75)</f>
        <v>IT</v>
      </c>
      <c r="D75" s="5" t="str">
        <f>IF(Clean_Data!D75="","Unknown",Clean_Data!D75)</f>
        <v>Karan Malhotra</v>
      </c>
      <c r="E75" s="5" t="str">
        <f>IF(Clean_Data!E75="","Unknown",Clean_Data!E75)</f>
        <v>Lead</v>
      </c>
      <c r="F75" s="5" t="str">
        <f>IF(Clean_Data!F75="","Unknown",Clean_Data!F75)</f>
        <v>Critical</v>
      </c>
      <c r="G75" s="5" t="str">
        <f>IF(Clean_Data!G75="","Unknown",Clean_Data!G75)</f>
        <v>Planning</v>
      </c>
      <c r="H75" s="5" t="str">
        <f>IF(Clean_Data!K75="","Unknown",Clean_Data!K75)</f>
        <v>In Progress</v>
      </c>
      <c r="I75" s="13">
        <f>Clean_Data!H75</f>
        <v>45693</v>
      </c>
      <c r="J75" s="13">
        <f>Clean_Data!I75</f>
        <v>45749</v>
      </c>
      <c r="K75" s="13" t="str">
        <f>Clean_Data!J75</f>
        <v/>
      </c>
      <c r="L75" s="5" t="str">
        <f>IF(Calc_Helper!I75="","Unknown",Calc_Helper!I75)</f>
        <v>2025-04</v>
      </c>
      <c r="M75" s="5" t="str">
        <f>IF(Calc_Helper!J75="","Unknown",Calc_Helper!J75)</f>
        <v>2025-02</v>
      </c>
      <c r="N75" s="19" t="str">
        <f>IF(Calc_Helper!K75="","",Calc_Helper!K75)</f>
        <v/>
      </c>
      <c r="O75" s="5">
        <f>IFERROR(Calc_Helper!L75,"")</f>
        <v>2025</v>
      </c>
      <c r="P75" s="5">
        <f>IFERROR(Calc_Helper!M75,"")</f>
        <v>2</v>
      </c>
      <c r="Q75" s="5" t="str">
        <f>IF(Calc_Helper!N75="","Unknown",Calc_Helper!N75)</f>
        <v>February</v>
      </c>
      <c r="R75" s="17">
        <f>IFERROR(IF(ISNUMBER(Clean_Data!L75),Clean_Data!L75,0),0)</f>
        <v>0.71</v>
      </c>
      <c r="S75" s="18">
        <f>IFERROR(IF(ISNUMBER(Clean_Data!M75),Clean_Data!M75,0),0)</f>
        <v>52.4</v>
      </c>
      <c r="T75" s="16">
        <f>IF(Clean_Data!N75="","",IFERROR(IF(ISNUMBER(Clean_Data!N75),Clean_Data!N75,""),""))</f>
        <v>32.6</v>
      </c>
      <c r="U75" s="18">
        <f>IFERROR(IF(ISNUMBER(Clean_Data!O75),Clean_Data!O75,0),0)</f>
        <v>-19.799999999999997</v>
      </c>
      <c r="V75" s="5">
        <f ca="1">IFERROR(IF(ISNUMBER(Calc_Helper!E75),Calc_Helper!E75,0),0)</f>
        <v>433</v>
      </c>
      <c r="W75" s="5">
        <f ca="1">IFERROR(IF(ISNUMBER(Calc_Helper!F75),Calc_Helper!F75,0),0)</f>
        <v>377</v>
      </c>
      <c r="X75" s="5">
        <f>IFERROR(IF(ISNUMBER(Calc_Helper!G75),Calc_Helper!G75,0),0)</f>
        <v>0</v>
      </c>
      <c r="Y75" s="5">
        <f ca="1">IFERROR(IF(ISNUMBER(Calc_Helper!H75),Calc_Helper!H75,0),0)</f>
        <v>433</v>
      </c>
      <c r="Z75" s="20" t="b">
        <f>Calc_Helper!B75</f>
        <v>0</v>
      </c>
      <c r="AA75" s="5">
        <f>IF(Calc_Helper!B75=TRUE(),1,0)</f>
        <v>0</v>
      </c>
      <c r="AB75" s="20" t="b">
        <f>Calc_Helper!C75</f>
        <v>1</v>
      </c>
      <c r="AC75" s="5">
        <f>IF(Calc_Helper!C75=TRUE(),1,0)</f>
        <v>1</v>
      </c>
      <c r="AD75" s="20" t="b">
        <f ca="1">Calc_Helper!D75</f>
        <v>1</v>
      </c>
      <c r="AE75" s="5">
        <f ca="1">IF(Calc_Helper!D75=TRUE(),1,0)</f>
        <v>1</v>
      </c>
      <c r="AF75" s="20" t="b">
        <f ca="1">Calc_Helper!O75</f>
        <v>1</v>
      </c>
      <c r="AG75" s="5">
        <f ca="1">IF(Calc_Helper!O75=TRUE(),1,0)</f>
        <v>1</v>
      </c>
      <c r="AH75" s="20" t="b">
        <f>Calc_Helper!P75</f>
        <v>1</v>
      </c>
      <c r="AI75" s="5">
        <f>IF(Calc_Helper!P75=TRUE(),1,0)</f>
        <v>1</v>
      </c>
      <c r="AJ75" s="20" t="b">
        <f ca="1">Calc_Helper!Q75</f>
        <v>1</v>
      </c>
      <c r="AK75" s="5">
        <f ca="1">IF(Calc_Helper!Q75=TRUE(),1,0)</f>
        <v>1</v>
      </c>
      <c r="AL75" s="20" t="b">
        <f ca="1">Calc_Helper!R75</f>
        <v>1</v>
      </c>
      <c r="AM75" s="5">
        <f ca="1">IF(Calc_Helper!R75=TRUE(),1,0)</f>
        <v>1</v>
      </c>
      <c r="AN75" s="5" t="str">
        <f>IF(Calc_Helper!S75="","Unknown",Calc_Helper!S75)</f>
        <v>On Track</v>
      </c>
      <c r="AO75" s="5">
        <f>IF(OR(Calc_Helper!S75="Healthy",Calc_Helper!S75="On Track"),1,0)</f>
        <v>1</v>
      </c>
      <c r="AP75" s="5" t="str">
        <f>IFERROR(IF(Calc_Helper!T75="","",Calc_Helper!T75),"")</f>
        <v/>
      </c>
      <c r="AQ75" s="5">
        <f>IF(Calc_Helper!T75=TRUE(),1,0)</f>
        <v>0</v>
      </c>
    </row>
    <row r="76" spans="1:43" x14ac:dyDescent="0.3">
      <c r="A76" s="2" t="str">
        <f>IF(Clean_Data!A76="","Unknown",Clean_Data!A76)</f>
        <v>TSK-0075</v>
      </c>
      <c r="B76" s="2" t="str">
        <f>IF(Clean_Data!B76="","Unknown",Clean_Data!B76)</f>
        <v>CRM Migration</v>
      </c>
      <c r="C76" s="2" t="str">
        <f>IF(Clean_Data!C76="","Unknown",Clean_Data!C76)</f>
        <v>IT</v>
      </c>
      <c r="D76" s="2" t="str">
        <f>IF(Clean_Data!D76="","Unknown",Clean_Data!D76)</f>
        <v>Vikram Singh</v>
      </c>
      <c r="E76" s="2" t="str">
        <f>IF(Clean_Data!E76="","Unknown",Clean_Data!E76)</f>
        <v>Coordinator</v>
      </c>
      <c r="F76" s="2" t="str">
        <f>IF(Clean_Data!F76="","Unknown",Clean_Data!F76)</f>
        <v>High</v>
      </c>
      <c r="G76" s="2" t="str">
        <f>IF(Clean_Data!G76="","Unknown",Clean_Data!G76)</f>
        <v>Review</v>
      </c>
      <c r="H76" s="2" t="str">
        <f>IF(Clean_Data!K76="","Unknown",Clean_Data!K76)</f>
        <v>Completed</v>
      </c>
      <c r="I76" s="10">
        <f>Clean_Data!H76</f>
        <v>45670</v>
      </c>
      <c r="J76" s="10">
        <f>Clean_Data!I76</f>
        <v>45683</v>
      </c>
      <c r="K76" s="10">
        <f>Clean_Data!J76</f>
        <v>45682</v>
      </c>
      <c r="L76" s="2" t="str">
        <f>IF(Calc_Helper!I76="","Unknown",Calc_Helper!I76)</f>
        <v>2025-01</v>
      </c>
      <c r="M76" s="2" t="str">
        <f>IF(Calc_Helper!J76="","Unknown",Calc_Helper!J76)</f>
        <v>2025-01</v>
      </c>
      <c r="N76" s="19" t="str">
        <f>IF(Calc_Helper!K76="","",Calc_Helper!K76)</f>
        <v>2025-01</v>
      </c>
      <c r="O76" s="2">
        <f>IFERROR(Calc_Helper!L76,"")</f>
        <v>2025</v>
      </c>
      <c r="P76" s="2">
        <f>IFERROR(Calc_Helper!M76,"")</f>
        <v>1</v>
      </c>
      <c r="Q76" s="2" t="str">
        <f>IF(Calc_Helper!N76="","Unknown",Calc_Helper!N76)</f>
        <v>January</v>
      </c>
      <c r="R76" s="15">
        <f>IFERROR(IF(ISNUMBER(Clean_Data!L76),Clean_Data!L76,0),0)</f>
        <v>1</v>
      </c>
      <c r="S76" s="16">
        <f>IFERROR(IF(ISNUMBER(Clean_Data!M76),Clean_Data!M76,0),0)</f>
        <v>60.8</v>
      </c>
      <c r="T76" s="16">
        <f>IF(Clean_Data!N76="","",IFERROR(IF(ISNUMBER(Clean_Data!N76),Clean_Data!N76,""),""))</f>
        <v>52.8</v>
      </c>
      <c r="U76" s="16">
        <f>IFERROR(IF(ISNUMBER(Clean_Data!O76),Clean_Data!O76,0),0)</f>
        <v>-8</v>
      </c>
      <c r="V76" s="2">
        <f ca="1">IFERROR(IF(ISNUMBER(Calc_Helper!E76),Calc_Helper!E76,0),0)</f>
        <v>0</v>
      </c>
      <c r="W76" s="2">
        <f ca="1">IFERROR(IF(ISNUMBER(Calc_Helper!F76),Calc_Helper!F76,0),0)</f>
        <v>0</v>
      </c>
      <c r="X76" s="2">
        <f>IFERROR(IF(ISNUMBER(Calc_Helper!G76),Calc_Helper!G76,0),0)</f>
        <v>12</v>
      </c>
      <c r="Y76" s="2">
        <f ca="1">IFERROR(IF(ISNUMBER(Calc_Helper!H76),Calc_Helper!H76,0),0)</f>
        <v>12</v>
      </c>
      <c r="Z76" s="19" t="b">
        <f>Calc_Helper!B76</f>
        <v>1</v>
      </c>
      <c r="AA76" s="2">
        <f>IF(Calc_Helper!B76=TRUE(),1,0)</f>
        <v>1</v>
      </c>
      <c r="AB76" s="19" t="b">
        <f>Calc_Helper!C76</f>
        <v>0</v>
      </c>
      <c r="AC76" s="2">
        <f>IF(Calc_Helper!C76=TRUE(),1,0)</f>
        <v>0</v>
      </c>
      <c r="AD76" s="19" t="b">
        <f ca="1">Calc_Helper!D76</f>
        <v>0</v>
      </c>
      <c r="AE76" s="2">
        <f ca="1">IF(Calc_Helper!D76=TRUE(),1,0)</f>
        <v>0</v>
      </c>
      <c r="AF76" s="19" t="b">
        <f ca="1">Calc_Helper!O76</f>
        <v>0</v>
      </c>
      <c r="AG76" s="2">
        <f ca="1">IF(Calc_Helper!O76=TRUE(),1,0)</f>
        <v>0</v>
      </c>
      <c r="AH76" s="19" t="b">
        <f>Calc_Helper!P76</f>
        <v>0</v>
      </c>
      <c r="AI76" s="2">
        <f>IF(Calc_Helper!P76=TRUE(),1,0)</f>
        <v>0</v>
      </c>
      <c r="AJ76" s="19" t="b">
        <f ca="1">Calc_Helper!Q76</f>
        <v>0</v>
      </c>
      <c r="AK76" s="2">
        <f ca="1">IF(Calc_Helper!Q76=TRUE(),1,0)</f>
        <v>0</v>
      </c>
      <c r="AL76" s="19" t="b">
        <f ca="1">Calc_Helper!R76</f>
        <v>0</v>
      </c>
      <c r="AM76" s="2">
        <f ca="1">IF(Calc_Helper!R76=TRUE(),1,0)</f>
        <v>0</v>
      </c>
      <c r="AN76" s="2" t="str">
        <f>IF(Calc_Helper!S76="","Unknown",Calc_Helper!S76)</f>
        <v>Healthy</v>
      </c>
      <c r="AO76" s="2">
        <f>IF(OR(Calc_Helper!S76="Healthy",Calc_Helper!S76="On Track"),1,0)</f>
        <v>1</v>
      </c>
      <c r="AP76" s="19" t="b">
        <f>IFERROR(IF(Calc_Helper!T76="","",Calc_Helper!T76),"")</f>
        <v>1</v>
      </c>
      <c r="AQ76" s="2">
        <f>IF(Calc_Helper!T76=TRUE(),1,0)</f>
        <v>1</v>
      </c>
    </row>
    <row r="77" spans="1:43" x14ac:dyDescent="0.3">
      <c r="A77" s="5" t="str">
        <f>IF(Clean_Data!A77="","Unknown",Clean_Data!A77)</f>
        <v>TSK-0076</v>
      </c>
      <c r="B77" s="5" t="str">
        <f>IF(Clean_Data!B77="","Unknown",Clean_Data!B77)</f>
        <v>Supply Chain Optimization</v>
      </c>
      <c r="C77" s="5" t="str">
        <f>IF(Clean_Data!C77="","Unknown",Clean_Data!C77)</f>
        <v>Sales</v>
      </c>
      <c r="D77" s="5" t="str">
        <f>IF(Clean_Data!D77="","Unknown",Clean_Data!D77)</f>
        <v>Karan Malhotra</v>
      </c>
      <c r="E77" s="5" t="str">
        <f>IF(Clean_Data!E77="","Unknown",Clean_Data!E77)</f>
        <v>Manager</v>
      </c>
      <c r="F77" s="5" t="str">
        <f>IF(Clean_Data!F77="","Unknown",Clean_Data!F77)</f>
        <v>Critical</v>
      </c>
      <c r="G77" s="5" t="str">
        <f>IF(Clean_Data!G77="","Unknown",Clean_Data!G77)</f>
        <v>Design</v>
      </c>
      <c r="H77" s="5" t="str">
        <f>IF(Clean_Data!K77="","Unknown",Clean_Data!K77)</f>
        <v>Cancelled</v>
      </c>
      <c r="I77" s="13">
        <f>Clean_Data!H77</f>
        <v>45427</v>
      </c>
      <c r="J77" s="13">
        <f>Clean_Data!I77</f>
        <v>45484</v>
      </c>
      <c r="K77" s="13" t="str">
        <f>Clean_Data!J77</f>
        <v/>
      </c>
      <c r="L77" s="5" t="str">
        <f>IF(Calc_Helper!I77="","Unknown",Calc_Helper!I77)</f>
        <v>2024-07</v>
      </c>
      <c r="M77" s="5" t="str">
        <f>IF(Calc_Helper!J77="","Unknown",Calc_Helper!J77)</f>
        <v>2024-05</v>
      </c>
      <c r="N77" s="19" t="str">
        <f>IF(Calc_Helper!K77="","",Calc_Helper!K77)</f>
        <v/>
      </c>
      <c r="O77" s="5">
        <f>IFERROR(Calc_Helper!L77,"")</f>
        <v>2024</v>
      </c>
      <c r="P77" s="5">
        <f>IFERROR(Calc_Helper!M77,"")</f>
        <v>5</v>
      </c>
      <c r="Q77" s="5" t="str">
        <f>IF(Calc_Helper!N77="","Unknown",Calc_Helper!N77)</f>
        <v>May</v>
      </c>
      <c r="R77" s="17">
        <f>IFERROR(IF(ISNUMBER(Clean_Data!L77),Clean_Data!L77,0),0)</f>
        <v>0</v>
      </c>
      <c r="S77" s="18">
        <f>IFERROR(IF(ISNUMBER(Clean_Data!M77),Clean_Data!M77,0),0)</f>
        <v>60.7</v>
      </c>
      <c r="T77" s="16">
        <f>IF(Clean_Data!N77="","",IFERROR(IF(ISNUMBER(Clean_Data!N77),Clean_Data!N77,""),""))</f>
        <v>0</v>
      </c>
      <c r="U77" s="18">
        <f>IFERROR(IF(ISNUMBER(Clean_Data!O77),Clean_Data!O77,0),0)</f>
        <v>-60.7</v>
      </c>
      <c r="V77" s="5">
        <f ca="1">IFERROR(IF(ISNUMBER(Calc_Helper!E77),Calc_Helper!E77,0),0)</f>
        <v>0</v>
      </c>
      <c r="W77" s="5">
        <f ca="1">IFERROR(IF(ISNUMBER(Calc_Helper!F77),Calc_Helper!F77,0),0)</f>
        <v>0</v>
      </c>
      <c r="X77" s="5">
        <f>IFERROR(IF(ISNUMBER(Calc_Helper!G77),Calc_Helper!G77,0),0)</f>
        <v>0</v>
      </c>
      <c r="Y77" s="5">
        <f ca="1">IFERROR(IF(ISNUMBER(Calc_Helper!H77),Calc_Helper!H77,0),0)</f>
        <v>699</v>
      </c>
      <c r="Z77" s="20" t="b">
        <f>Calc_Helper!B77</f>
        <v>0</v>
      </c>
      <c r="AA77" s="5">
        <f>IF(Calc_Helper!B77=TRUE(),1,0)</f>
        <v>0</v>
      </c>
      <c r="AB77" s="20" t="b">
        <f>Calc_Helper!C77</f>
        <v>0</v>
      </c>
      <c r="AC77" s="5">
        <f>IF(Calc_Helper!C77=TRUE(),1,0)</f>
        <v>0</v>
      </c>
      <c r="AD77" s="20" t="b">
        <f ca="1">Calc_Helper!D77</f>
        <v>0</v>
      </c>
      <c r="AE77" s="5">
        <f ca="1">IF(Calc_Helper!D77=TRUE(),1,0)</f>
        <v>0</v>
      </c>
      <c r="AF77" s="20" t="b">
        <f ca="1">Calc_Helper!O77</f>
        <v>0</v>
      </c>
      <c r="AG77" s="5">
        <f ca="1">IF(Calc_Helper!O77=TRUE(),1,0)</f>
        <v>0</v>
      </c>
      <c r="AH77" s="20" t="b">
        <f>Calc_Helper!P77</f>
        <v>0</v>
      </c>
      <c r="AI77" s="5">
        <f>IF(Calc_Helper!P77=TRUE(),1,0)</f>
        <v>0</v>
      </c>
      <c r="AJ77" s="20" t="b">
        <f ca="1">Calc_Helper!Q77</f>
        <v>0</v>
      </c>
      <c r="AK77" s="5">
        <f ca="1">IF(Calc_Helper!Q77=TRUE(),1,0)</f>
        <v>0</v>
      </c>
      <c r="AL77" s="20" t="b">
        <f ca="1">Calc_Helper!R77</f>
        <v>0</v>
      </c>
      <c r="AM77" s="5">
        <f ca="1">IF(Calc_Helper!R77=TRUE(),1,0)</f>
        <v>0</v>
      </c>
      <c r="AN77" s="5" t="str">
        <f>IF(Calc_Helper!S77="","Unknown",Calc_Helper!S77)</f>
        <v>N/A</v>
      </c>
      <c r="AO77" s="5">
        <f>IF(OR(Calc_Helper!S77="Healthy",Calc_Helper!S77="On Track"),1,0)</f>
        <v>0</v>
      </c>
      <c r="AP77" s="5" t="str">
        <f>IFERROR(IF(Calc_Helper!T77="","",Calc_Helper!T77),"")</f>
        <v/>
      </c>
      <c r="AQ77" s="5">
        <f>IF(Calc_Helper!T77=TRUE(),1,0)</f>
        <v>0</v>
      </c>
    </row>
    <row r="78" spans="1:43" x14ac:dyDescent="0.3">
      <c r="A78" s="2" t="str">
        <f>IF(Clean_Data!A78="","Unknown",Clean_Data!A78)</f>
        <v>TSK-0077</v>
      </c>
      <c r="B78" s="2" t="str">
        <f>IF(Clean_Data!B78="","Unknown",Clean_Data!B78)</f>
        <v>CRM Migration</v>
      </c>
      <c r="C78" s="2" t="str">
        <f>IF(Clean_Data!C78="","Unknown",Clean_Data!C78)</f>
        <v>Finance</v>
      </c>
      <c r="D78" s="2" t="str">
        <f>IF(Clean_Data!D78="","Unknown",Clean_Data!D78)</f>
        <v>Sanjay Kulkarni</v>
      </c>
      <c r="E78" s="2" t="str">
        <f>IF(Clean_Data!E78="","Unknown",Clean_Data!E78)</f>
        <v>Manager</v>
      </c>
      <c r="F78" s="2" t="str">
        <f>IF(Clean_Data!F78="","Unknown",Clean_Data!F78)</f>
        <v>Critical</v>
      </c>
      <c r="G78" s="2" t="str">
        <f>IF(Clean_Data!G78="","Unknown",Clean_Data!G78)</f>
        <v>Review</v>
      </c>
      <c r="H78" s="2" t="str">
        <f>IF(Clean_Data!K78="","Unknown",Clean_Data!K78)</f>
        <v>Completed</v>
      </c>
      <c r="I78" s="10">
        <f>Clean_Data!H78</f>
        <v>45581</v>
      </c>
      <c r="J78" s="10">
        <f>Clean_Data!I78</f>
        <v>45609</v>
      </c>
      <c r="K78" s="10">
        <f>Clean_Data!J78</f>
        <v>45624</v>
      </c>
      <c r="L78" s="2" t="str">
        <f>IF(Calc_Helper!I78="","Unknown",Calc_Helper!I78)</f>
        <v>2024-11</v>
      </c>
      <c r="M78" s="2" t="str">
        <f>IF(Calc_Helper!J78="","Unknown",Calc_Helper!J78)</f>
        <v>2024-10</v>
      </c>
      <c r="N78" s="19" t="str">
        <f>IF(Calc_Helper!K78="","",Calc_Helper!K78)</f>
        <v>2024-11</v>
      </c>
      <c r="O78" s="2">
        <f>IFERROR(Calc_Helper!L78,"")</f>
        <v>2024</v>
      </c>
      <c r="P78" s="2">
        <f>IFERROR(Calc_Helper!M78,"")</f>
        <v>10</v>
      </c>
      <c r="Q78" s="2" t="str">
        <f>IF(Calc_Helper!N78="","Unknown",Calc_Helper!N78)</f>
        <v>October</v>
      </c>
      <c r="R78" s="15">
        <f>IFERROR(IF(ISNUMBER(Clean_Data!L78),Clean_Data!L78,0),0)</f>
        <v>1</v>
      </c>
      <c r="S78" s="16">
        <f>IFERROR(IF(ISNUMBER(Clean_Data!M78),Clean_Data!M78,0),0)</f>
        <v>5.0999999999999996</v>
      </c>
      <c r="T78" s="16">
        <f>IF(Clean_Data!N78="","",IFERROR(IF(ISNUMBER(Clean_Data!N78),Clean_Data!N78,""),""))</f>
        <v>11.6</v>
      </c>
      <c r="U78" s="16">
        <f>IFERROR(IF(ISNUMBER(Clean_Data!O78),Clean_Data!O78,0),0)</f>
        <v>6.5</v>
      </c>
      <c r="V78" s="2">
        <f ca="1">IFERROR(IF(ISNUMBER(Calc_Helper!E78),Calc_Helper!E78,0),0)</f>
        <v>0</v>
      </c>
      <c r="W78" s="2">
        <f ca="1">IFERROR(IF(ISNUMBER(Calc_Helper!F78),Calc_Helper!F78,0),0)</f>
        <v>15</v>
      </c>
      <c r="X78" s="2">
        <f>IFERROR(IF(ISNUMBER(Calc_Helper!G78),Calc_Helper!G78,0),0)</f>
        <v>43</v>
      </c>
      <c r="Y78" s="2">
        <f ca="1">IFERROR(IF(ISNUMBER(Calc_Helper!H78),Calc_Helper!H78,0),0)</f>
        <v>43</v>
      </c>
      <c r="Z78" s="19" t="b">
        <f>Calc_Helper!B78</f>
        <v>1</v>
      </c>
      <c r="AA78" s="2">
        <f>IF(Calc_Helper!B78=TRUE(),1,0)</f>
        <v>1</v>
      </c>
      <c r="AB78" s="19" t="b">
        <f>Calc_Helper!C78</f>
        <v>0</v>
      </c>
      <c r="AC78" s="2">
        <f>IF(Calc_Helper!C78=TRUE(),1,0)</f>
        <v>0</v>
      </c>
      <c r="AD78" s="19" t="b">
        <f ca="1">Calc_Helper!D78</f>
        <v>0</v>
      </c>
      <c r="AE78" s="2">
        <f ca="1">IF(Calc_Helper!D78=TRUE(),1,0)</f>
        <v>0</v>
      </c>
      <c r="AF78" s="19" t="b">
        <f ca="1">Calc_Helper!O78</f>
        <v>0</v>
      </c>
      <c r="AG78" s="2">
        <f ca="1">IF(Calc_Helper!O78=TRUE(),1,0)</f>
        <v>0</v>
      </c>
      <c r="AH78" s="19" t="b">
        <f>Calc_Helper!P78</f>
        <v>0</v>
      </c>
      <c r="AI78" s="2">
        <f>IF(Calc_Helper!P78=TRUE(),1,0)</f>
        <v>0</v>
      </c>
      <c r="AJ78" s="19" t="b">
        <f ca="1">Calc_Helper!Q78</f>
        <v>0</v>
      </c>
      <c r="AK78" s="2">
        <f ca="1">IF(Calc_Helper!Q78=TRUE(),1,0)</f>
        <v>0</v>
      </c>
      <c r="AL78" s="19" t="b">
        <f ca="1">Calc_Helper!R78</f>
        <v>0</v>
      </c>
      <c r="AM78" s="2">
        <f ca="1">IF(Calc_Helper!R78=TRUE(),1,0)</f>
        <v>0</v>
      </c>
      <c r="AN78" s="2" t="str">
        <f>IF(Calc_Helper!S78="","Unknown",Calc_Helper!S78)</f>
        <v>Over Budget</v>
      </c>
      <c r="AO78" s="2">
        <f>IF(OR(Calc_Helper!S78="Healthy",Calc_Helper!S78="On Track"),1,0)</f>
        <v>0</v>
      </c>
      <c r="AP78" s="19" t="b">
        <f>IFERROR(IF(Calc_Helper!T78="","",Calc_Helper!T78),"")</f>
        <v>0</v>
      </c>
      <c r="AQ78" s="2">
        <f>IF(Calc_Helper!T78=TRUE(),1,0)</f>
        <v>0</v>
      </c>
    </row>
    <row r="79" spans="1:43" x14ac:dyDescent="0.3">
      <c r="A79" s="5" t="str">
        <f>IF(Clean_Data!A79="","Unknown",Clean_Data!A79)</f>
        <v>TSK-0078</v>
      </c>
      <c r="B79" s="5" t="str">
        <f>IF(Clean_Data!B79="","Unknown",Clean_Data!B79)</f>
        <v>Mobile App v2</v>
      </c>
      <c r="C79" s="5" t="str">
        <f>IF(Clean_Data!C79="","Unknown",Clean_Data!C79)</f>
        <v>Operations</v>
      </c>
      <c r="D79" s="5" t="str">
        <f>IF(Clean_Data!D79="","Unknown",Clean_Data!D79)</f>
        <v>Meera Thakur</v>
      </c>
      <c r="E79" s="5" t="str">
        <f>IF(Clean_Data!E79="","Unknown",Clean_Data!E79)</f>
        <v>Tester</v>
      </c>
      <c r="F79" s="5" t="str">
        <f>IF(Clean_Data!F79="","Unknown",Clean_Data!F79)</f>
        <v>High</v>
      </c>
      <c r="G79" s="5" t="str">
        <f>IF(Clean_Data!G79="","Unknown",Clean_Data!G79)</f>
        <v>Research</v>
      </c>
      <c r="H79" s="5" t="str">
        <f>IF(Clean_Data!K79="","Unknown",Clean_Data!K79)</f>
        <v>Not Started</v>
      </c>
      <c r="I79" s="13">
        <f>Clean_Data!H79</f>
        <v>45537</v>
      </c>
      <c r="J79" s="13">
        <f>Clean_Data!I79</f>
        <v>45543</v>
      </c>
      <c r="K79" s="13" t="str">
        <f>Clean_Data!J79</f>
        <v/>
      </c>
      <c r="L79" s="5" t="str">
        <f>IF(Calc_Helper!I79="","Unknown",Calc_Helper!I79)</f>
        <v>2024-09</v>
      </c>
      <c r="M79" s="5" t="str">
        <f>IF(Calc_Helper!J79="","Unknown",Calc_Helper!J79)</f>
        <v>2024-09</v>
      </c>
      <c r="N79" s="19" t="str">
        <f>IF(Calc_Helper!K79="","",Calc_Helper!K79)</f>
        <v/>
      </c>
      <c r="O79" s="5">
        <f>IFERROR(Calc_Helper!L79,"")</f>
        <v>2024</v>
      </c>
      <c r="P79" s="5">
        <f>IFERROR(Calc_Helper!M79,"")</f>
        <v>9</v>
      </c>
      <c r="Q79" s="5" t="str">
        <f>IF(Calc_Helper!N79="","Unknown",Calc_Helper!N79)</f>
        <v>September</v>
      </c>
      <c r="R79" s="17">
        <f>IFERROR(IF(ISNUMBER(Clean_Data!L79),Clean_Data!L79,0),0)</f>
        <v>0</v>
      </c>
      <c r="S79" s="18">
        <f>IFERROR(IF(ISNUMBER(Clean_Data!M79),Clean_Data!M79,0),0)</f>
        <v>20.8</v>
      </c>
      <c r="T79" s="16" t="str">
        <f>IF(Clean_Data!N79="","",IFERROR(IF(ISNUMBER(Clean_Data!N79),Clean_Data!N79,""),""))</f>
        <v/>
      </c>
      <c r="U79" s="18">
        <f>IFERROR(IF(ISNUMBER(Clean_Data!O79),Clean_Data!O79,0),0)</f>
        <v>0</v>
      </c>
      <c r="V79" s="5">
        <f ca="1">IFERROR(IF(ISNUMBER(Calc_Helper!E79),Calc_Helper!E79,0),0)</f>
        <v>589</v>
      </c>
      <c r="W79" s="5">
        <f ca="1">IFERROR(IF(ISNUMBER(Calc_Helper!F79),Calc_Helper!F79,0),0)</f>
        <v>583</v>
      </c>
      <c r="X79" s="5">
        <f>IFERROR(IF(ISNUMBER(Calc_Helper!G79),Calc_Helper!G79,0),0)</f>
        <v>0</v>
      </c>
      <c r="Y79" s="5">
        <f ca="1">IFERROR(IF(ISNUMBER(Calc_Helper!H79),Calc_Helper!H79,0),0)</f>
        <v>589</v>
      </c>
      <c r="Z79" s="20" t="b">
        <f>Calc_Helper!B79</f>
        <v>0</v>
      </c>
      <c r="AA79" s="5">
        <f>IF(Calc_Helper!B79=TRUE(),1,0)</f>
        <v>0</v>
      </c>
      <c r="AB79" s="20" t="b">
        <f>Calc_Helper!C79</f>
        <v>1</v>
      </c>
      <c r="AC79" s="5">
        <f>IF(Calc_Helper!C79=TRUE(),1,0)</f>
        <v>1</v>
      </c>
      <c r="AD79" s="20" t="b">
        <f ca="1">Calc_Helper!D79</f>
        <v>1</v>
      </c>
      <c r="AE79" s="5">
        <f ca="1">IF(Calc_Helper!D79=TRUE(),1,0)</f>
        <v>1</v>
      </c>
      <c r="AF79" s="20" t="b">
        <f ca="1">Calc_Helper!O79</f>
        <v>1</v>
      </c>
      <c r="AG79" s="5">
        <f ca="1">IF(Calc_Helper!O79=TRUE(),1,0)</f>
        <v>1</v>
      </c>
      <c r="AH79" s="20" t="b">
        <f>Calc_Helper!P79</f>
        <v>1</v>
      </c>
      <c r="AI79" s="5">
        <f>IF(Calc_Helper!P79=TRUE(),1,0)</f>
        <v>1</v>
      </c>
      <c r="AJ79" s="20" t="b">
        <f ca="1">Calc_Helper!Q79</f>
        <v>1</v>
      </c>
      <c r="AK79" s="5">
        <f ca="1">IF(Calc_Helper!Q79=TRUE(),1,0)</f>
        <v>1</v>
      </c>
      <c r="AL79" s="20" t="b">
        <f ca="1">Calc_Helper!R79</f>
        <v>0</v>
      </c>
      <c r="AM79" s="5">
        <f ca="1">IF(Calc_Helper!R79=TRUE(),1,0)</f>
        <v>0</v>
      </c>
      <c r="AN79" s="5" t="str">
        <f>IF(Calc_Helper!S79="","Unknown",Calc_Helper!S79)</f>
        <v>N/A</v>
      </c>
      <c r="AO79" s="5">
        <f>IF(OR(Calc_Helper!S79="Healthy",Calc_Helper!S79="On Track"),1,0)</f>
        <v>0</v>
      </c>
      <c r="AP79" s="5" t="str">
        <f>IFERROR(IF(Calc_Helper!T79="","",Calc_Helper!T79),"")</f>
        <v/>
      </c>
      <c r="AQ79" s="5">
        <f>IF(Calc_Helper!T79=TRUE(),1,0)</f>
        <v>0</v>
      </c>
    </row>
    <row r="80" spans="1:43" x14ac:dyDescent="0.3">
      <c r="A80" s="2" t="str">
        <f>IF(Clean_Data!A80="","Unknown",Clean_Data!A80)</f>
        <v>TSK-0079</v>
      </c>
      <c r="B80" s="2" t="str">
        <f>IF(Clean_Data!B80="","Unknown",Clean_Data!B80)</f>
        <v>Employee Onboarding</v>
      </c>
      <c r="C80" s="2" t="str">
        <f>IF(Clean_Data!C80="","Unknown",Clean_Data!C80)</f>
        <v>Operations</v>
      </c>
      <c r="D80" s="2" t="str">
        <f>IF(Clean_Data!D80="","Unknown",Clean_Data!D80)</f>
        <v>Priya Patel</v>
      </c>
      <c r="E80" s="2" t="str">
        <f>IF(Clean_Data!E80="","Unknown",Clean_Data!E80)</f>
        <v>Developer</v>
      </c>
      <c r="F80" s="2" t="str">
        <f>IF(Clean_Data!F80="","Unknown",Clean_Data!F80)</f>
        <v>High</v>
      </c>
      <c r="G80" s="2" t="str">
        <f>IF(Clean_Data!G80="","Unknown",Clean_Data!G80)</f>
        <v>Development</v>
      </c>
      <c r="H80" s="2" t="str">
        <f>IF(Clean_Data!K80="","Unknown",Clean_Data!K80)</f>
        <v>Completed</v>
      </c>
      <c r="I80" s="10">
        <f>Clean_Data!H80</f>
        <v>45451</v>
      </c>
      <c r="J80" s="10">
        <f>Clean_Data!I80</f>
        <v>45487</v>
      </c>
      <c r="K80" s="10">
        <f>Clean_Data!J80</f>
        <v>45480</v>
      </c>
      <c r="L80" s="2" t="str">
        <f>IF(Calc_Helper!I80="","Unknown",Calc_Helper!I80)</f>
        <v>2024-07</v>
      </c>
      <c r="M80" s="2" t="str">
        <f>IF(Calc_Helper!J80="","Unknown",Calc_Helper!J80)</f>
        <v>2024-06</v>
      </c>
      <c r="N80" s="19" t="str">
        <f>IF(Calc_Helper!K80="","",Calc_Helper!K80)</f>
        <v>2024-07</v>
      </c>
      <c r="O80" s="2">
        <f>IFERROR(Calc_Helper!L80,"")</f>
        <v>2024</v>
      </c>
      <c r="P80" s="2">
        <f>IFERROR(Calc_Helper!M80,"")</f>
        <v>6</v>
      </c>
      <c r="Q80" s="2" t="str">
        <f>IF(Calc_Helper!N80="","Unknown",Calc_Helper!N80)</f>
        <v>June</v>
      </c>
      <c r="R80" s="15">
        <f>IFERROR(IF(ISNUMBER(Clean_Data!L80),Clean_Data!L80,0),0)</f>
        <v>1</v>
      </c>
      <c r="S80" s="16">
        <f>IFERROR(IF(ISNUMBER(Clean_Data!M80),Clean_Data!M80,0),0)</f>
        <v>71.400000000000006</v>
      </c>
      <c r="T80" s="16">
        <f>IF(Clean_Data!N80="","",IFERROR(IF(ISNUMBER(Clean_Data!N80),Clean_Data!N80,""),""))</f>
        <v>61.8</v>
      </c>
      <c r="U80" s="16">
        <f>IFERROR(IF(ISNUMBER(Clean_Data!O80),Clean_Data!O80,0),0)</f>
        <v>-9.6000000000000085</v>
      </c>
      <c r="V80" s="2">
        <f ca="1">IFERROR(IF(ISNUMBER(Calc_Helper!E80),Calc_Helper!E80,0),0)</f>
        <v>0</v>
      </c>
      <c r="W80" s="2">
        <f ca="1">IFERROR(IF(ISNUMBER(Calc_Helper!F80),Calc_Helper!F80,0),0)</f>
        <v>0</v>
      </c>
      <c r="X80" s="2">
        <f>IFERROR(IF(ISNUMBER(Calc_Helper!G80),Calc_Helper!G80,0),0)</f>
        <v>29</v>
      </c>
      <c r="Y80" s="2">
        <f ca="1">IFERROR(IF(ISNUMBER(Calc_Helper!H80),Calc_Helper!H80,0),0)</f>
        <v>29</v>
      </c>
      <c r="Z80" s="19" t="b">
        <f>Calc_Helper!B80</f>
        <v>1</v>
      </c>
      <c r="AA80" s="2">
        <f>IF(Calc_Helper!B80=TRUE(),1,0)</f>
        <v>1</v>
      </c>
      <c r="AB80" s="19" t="b">
        <f>Calc_Helper!C80</f>
        <v>0</v>
      </c>
      <c r="AC80" s="2">
        <f>IF(Calc_Helper!C80=TRUE(),1,0)</f>
        <v>0</v>
      </c>
      <c r="AD80" s="19" t="b">
        <f ca="1">Calc_Helper!D80</f>
        <v>0</v>
      </c>
      <c r="AE80" s="2">
        <f ca="1">IF(Calc_Helper!D80=TRUE(),1,0)</f>
        <v>0</v>
      </c>
      <c r="AF80" s="19" t="b">
        <f ca="1">Calc_Helper!O80</f>
        <v>0</v>
      </c>
      <c r="AG80" s="2">
        <f ca="1">IF(Calc_Helper!O80=TRUE(),1,0)</f>
        <v>0</v>
      </c>
      <c r="AH80" s="19" t="b">
        <f>Calc_Helper!P80</f>
        <v>0</v>
      </c>
      <c r="AI80" s="2">
        <f>IF(Calc_Helper!P80=TRUE(),1,0)</f>
        <v>0</v>
      </c>
      <c r="AJ80" s="19" t="b">
        <f ca="1">Calc_Helper!Q80</f>
        <v>0</v>
      </c>
      <c r="AK80" s="2">
        <f ca="1">IF(Calc_Helper!Q80=TRUE(),1,0)</f>
        <v>0</v>
      </c>
      <c r="AL80" s="19" t="b">
        <f ca="1">Calc_Helper!R80</f>
        <v>0</v>
      </c>
      <c r="AM80" s="2">
        <f ca="1">IF(Calc_Helper!R80=TRUE(),1,0)</f>
        <v>0</v>
      </c>
      <c r="AN80" s="2" t="str">
        <f>IF(Calc_Helper!S80="","Unknown",Calc_Helper!S80)</f>
        <v>Healthy</v>
      </c>
      <c r="AO80" s="2">
        <f>IF(OR(Calc_Helper!S80="Healthy",Calc_Helper!S80="On Track"),1,0)</f>
        <v>1</v>
      </c>
      <c r="AP80" s="19" t="b">
        <f>IFERROR(IF(Calc_Helper!T80="","",Calc_Helper!T80),"")</f>
        <v>1</v>
      </c>
      <c r="AQ80" s="2">
        <f>IF(Calc_Helper!T80=TRUE(),1,0)</f>
        <v>1</v>
      </c>
    </row>
    <row r="81" spans="1:43" x14ac:dyDescent="0.3">
      <c r="A81" s="5" t="str">
        <f>IF(Clean_Data!A81="","Unknown",Clean_Data!A81)</f>
        <v>TSK-0080</v>
      </c>
      <c r="B81" s="5" t="str">
        <f>IF(Clean_Data!B81="","Unknown",Clean_Data!B81)</f>
        <v>Marketing Campaign</v>
      </c>
      <c r="C81" s="5" t="str">
        <f>IF(Clean_Data!C81="","Unknown",Clean_Data!C81)</f>
        <v>Finance</v>
      </c>
      <c r="D81" s="5" t="str">
        <f>IF(Clean_Data!D81="","Unknown",Clean_Data!D81)</f>
        <v>Karan Malhotra</v>
      </c>
      <c r="E81" s="5" t="str">
        <f>IF(Clean_Data!E81="","Unknown",Clean_Data!E81)</f>
        <v>Coordinator</v>
      </c>
      <c r="F81" s="5" t="str">
        <f>IF(Clean_Data!F81="","Unknown",Clean_Data!F81)</f>
        <v>Low</v>
      </c>
      <c r="G81" s="5" t="str">
        <f>IF(Clean_Data!G81="","Unknown",Clean_Data!G81)</f>
        <v>Testing</v>
      </c>
      <c r="H81" s="5" t="str">
        <f>IF(Clean_Data!K81="","Unknown",Clean_Data!K81)</f>
        <v>On Hold</v>
      </c>
      <c r="I81" s="13">
        <f>Clean_Data!H81</f>
        <v>45546</v>
      </c>
      <c r="J81" s="13">
        <f>Clean_Data!I81</f>
        <v>45590</v>
      </c>
      <c r="K81" s="13" t="str">
        <f>Clean_Data!J81</f>
        <v/>
      </c>
      <c r="L81" s="5" t="str">
        <f>IF(Calc_Helper!I81="","Unknown",Calc_Helper!I81)</f>
        <v>2024-10</v>
      </c>
      <c r="M81" s="5" t="str">
        <f>IF(Calc_Helper!J81="","Unknown",Calc_Helper!J81)</f>
        <v>2024-09</v>
      </c>
      <c r="N81" s="19" t="str">
        <f>IF(Calc_Helper!K81="","",Calc_Helper!K81)</f>
        <v/>
      </c>
      <c r="O81" s="5">
        <f>IFERROR(Calc_Helper!L81,"")</f>
        <v>2024</v>
      </c>
      <c r="P81" s="5">
        <f>IFERROR(Calc_Helper!M81,"")</f>
        <v>9</v>
      </c>
      <c r="Q81" s="5" t="str">
        <f>IF(Calc_Helper!N81="","Unknown",Calc_Helper!N81)</f>
        <v>September</v>
      </c>
      <c r="R81" s="17">
        <f>IFERROR(IF(ISNUMBER(Clean_Data!L81),Clean_Data!L81,0),0)</f>
        <v>0.22</v>
      </c>
      <c r="S81" s="18">
        <f>IFERROR(IF(ISNUMBER(Clean_Data!M81),Clean_Data!M81,0),0)</f>
        <v>56.5</v>
      </c>
      <c r="T81" s="16" t="str">
        <f>IF(Clean_Data!N81="","",IFERROR(IF(ISNUMBER(Clean_Data!N81),Clean_Data!N81,""),""))</f>
        <v/>
      </c>
      <c r="U81" s="18">
        <f>IFERROR(IF(ISNUMBER(Clean_Data!O81),Clean_Data!O81,0),0)</f>
        <v>0</v>
      </c>
      <c r="V81" s="5">
        <f ca="1">IFERROR(IF(ISNUMBER(Calc_Helper!E81),Calc_Helper!E81,0),0)</f>
        <v>580</v>
      </c>
      <c r="W81" s="5">
        <f ca="1">IFERROR(IF(ISNUMBER(Calc_Helper!F81),Calc_Helper!F81,0),0)</f>
        <v>536</v>
      </c>
      <c r="X81" s="5">
        <f>IFERROR(IF(ISNUMBER(Calc_Helper!G81),Calc_Helper!G81,0),0)</f>
        <v>0</v>
      </c>
      <c r="Y81" s="5">
        <f ca="1">IFERROR(IF(ISNUMBER(Calc_Helper!H81),Calc_Helper!H81,0),0)</f>
        <v>580</v>
      </c>
      <c r="Z81" s="20" t="b">
        <f>Calc_Helper!B81</f>
        <v>0</v>
      </c>
      <c r="AA81" s="5">
        <f>IF(Calc_Helper!B81=TRUE(),1,0)</f>
        <v>0</v>
      </c>
      <c r="AB81" s="20" t="b">
        <f>Calc_Helper!C81</f>
        <v>1</v>
      </c>
      <c r="AC81" s="5">
        <f>IF(Calc_Helper!C81=TRUE(),1,0)</f>
        <v>1</v>
      </c>
      <c r="AD81" s="20" t="b">
        <f ca="1">Calc_Helper!D81</f>
        <v>1</v>
      </c>
      <c r="AE81" s="5">
        <f ca="1">IF(Calc_Helper!D81=TRUE(),1,0)</f>
        <v>1</v>
      </c>
      <c r="AF81" s="20" t="b">
        <f ca="1">Calc_Helper!O81</f>
        <v>1</v>
      </c>
      <c r="AG81" s="5">
        <f ca="1">IF(Calc_Helper!O81=TRUE(),1,0)</f>
        <v>1</v>
      </c>
      <c r="AH81" s="20" t="b">
        <f>Calc_Helper!P81</f>
        <v>0</v>
      </c>
      <c r="AI81" s="5">
        <f>IF(Calc_Helper!P81=TRUE(),1,0)</f>
        <v>0</v>
      </c>
      <c r="AJ81" s="20" t="b">
        <f ca="1">Calc_Helper!Q81</f>
        <v>0</v>
      </c>
      <c r="AK81" s="5">
        <f ca="1">IF(Calc_Helper!Q81=TRUE(),1,0)</f>
        <v>0</v>
      </c>
      <c r="AL81" s="20" t="b">
        <f ca="1">Calc_Helper!R81</f>
        <v>0</v>
      </c>
      <c r="AM81" s="5">
        <f ca="1">IF(Calc_Helper!R81=TRUE(),1,0)</f>
        <v>0</v>
      </c>
      <c r="AN81" s="5" t="str">
        <f>IF(Calc_Helper!S81="","Unknown",Calc_Helper!S81)</f>
        <v>N/A</v>
      </c>
      <c r="AO81" s="5">
        <f>IF(OR(Calc_Helper!S81="Healthy",Calc_Helper!S81="On Track"),1,0)</f>
        <v>0</v>
      </c>
      <c r="AP81" s="5" t="str">
        <f>IFERROR(IF(Calc_Helper!T81="","",Calc_Helper!T81),"")</f>
        <v/>
      </c>
      <c r="AQ81" s="5">
        <f>IF(Calc_Helper!T81=TRUE(),1,0)</f>
        <v>0</v>
      </c>
    </row>
    <row r="82" spans="1:43" x14ac:dyDescent="0.3">
      <c r="A82" s="2" t="str">
        <f>IF(Clean_Data!A82="","Unknown",Clean_Data!A82)</f>
        <v>TSK-0081</v>
      </c>
      <c r="B82" s="2" t="str">
        <f>IF(Clean_Data!B82="","Unknown",Clean_Data!B82)</f>
        <v>Product Launch</v>
      </c>
      <c r="C82" s="2" t="str">
        <f>IF(Clean_Data!C82="","Unknown",Clean_Data!C82)</f>
        <v>Operations</v>
      </c>
      <c r="D82" s="2" t="str">
        <f>IF(Clean_Data!D82="","Unknown",Clean_Data!D82)</f>
        <v>Priya Patel</v>
      </c>
      <c r="E82" s="2" t="str">
        <f>IF(Clean_Data!E82="","Unknown",Clean_Data!E82)</f>
        <v>Tester</v>
      </c>
      <c r="F82" s="2" t="str">
        <f>IF(Clean_Data!F82="","Unknown",Clean_Data!F82)</f>
        <v>Low</v>
      </c>
      <c r="G82" s="2" t="str">
        <f>IF(Clean_Data!G82="","Unknown",Clean_Data!G82)</f>
        <v>Review</v>
      </c>
      <c r="H82" s="2" t="str">
        <f>IF(Clean_Data!K82="","Unknown",Clean_Data!K82)</f>
        <v>Not Started</v>
      </c>
      <c r="I82" s="10">
        <f>Clean_Data!H82</f>
        <v>45327</v>
      </c>
      <c r="J82" s="10">
        <f>Clean_Data!I82</f>
        <v>45357</v>
      </c>
      <c r="K82" s="10" t="str">
        <f>Clean_Data!J82</f>
        <v/>
      </c>
      <c r="L82" s="2" t="str">
        <f>IF(Calc_Helper!I82="","Unknown",Calc_Helper!I82)</f>
        <v>2024-03</v>
      </c>
      <c r="M82" s="2" t="str">
        <f>IF(Calc_Helper!J82="","Unknown",Calc_Helper!J82)</f>
        <v>2024-02</v>
      </c>
      <c r="N82" s="19" t="str">
        <f>IF(Calc_Helper!K82="","",Calc_Helper!K82)</f>
        <v/>
      </c>
      <c r="O82" s="2">
        <f>IFERROR(Calc_Helper!L82,"")</f>
        <v>2024</v>
      </c>
      <c r="P82" s="2">
        <f>IFERROR(Calc_Helper!M82,"")</f>
        <v>2</v>
      </c>
      <c r="Q82" s="2" t="str">
        <f>IF(Calc_Helper!N82="","Unknown",Calc_Helper!N82)</f>
        <v>February</v>
      </c>
      <c r="R82" s="15">
        <f>IFERROR(IF(ISNUMBER(Clean_Data!L82),Clean_Data!L82,0),0)</f>
        <v>0</v>
      </c>
      <c r="S82" s="16">
        <f>IFERROR(IF(ISNUMBER(Clean_Data!M82),Clean_Data!M82,0),0)</f>
        <v>77.599999999999994</v>
      </c>
      <c r="T82" s="16">
        <f>IF(Clean_Data!N82="","",IFERROR(IF(ISNUMBER(Clean_Data!N82),Clean_Data!N82,""),""))</f>
        <v>0</v>
      </c>
      <c r="U82" s="16">
        <f>IFERROR(IF(ISNUMBER(Clean_Data!O82),Clean_Data!O82,0),0)</f>
        <v>-77.599999999999994</v>
      </c>
      <c r="V82" s="2">
        <f ca="1">IFERROR(IF(ISNUMBER(Calc_Helper!E82),Calc_Helper!E82,0),0)</f>
        <v>799</v>
      </c>
      <c r="W82" s="2">
        <f ca="1">IFERROR(IF(ISNUMBER(Calc_Helper!F82),Calc_Helper!F82,0),0)</f>
        <v>769</v>
      </c>
      <c r="X82" s="2">
        <f>IFERROR(IF(ISNUMBER(Calc_Helper!G82),Calc_Helper!G82,0),0)</f>
        <v>0</v>
      </c>
      <c r="Y82" s="2">
        <f ca="1">IFERROR(IF(ISNUMBER(Calc_Helper!H82),Calc_Helper!H82,0),0)</f>
        <v>799</v>
      </c>
      <c r="Z82" s="19" t="b">
        <f>Calc_Helper!B82</f>
        <v>0</v>
      </c>
      <c r="AA82" s="2">
        <f>IF(Calc_Helper!B82=TRUE(),1,0)</f>
        <v>0</v>
      </c>
      <c r="AB82" s="19" t="b">
        <f>Calc_Helper!C82</f>
        <v>1</v>
      </c>
      <c r="AC82" s="2">
        <f>IF(Calc_Helper!C82=TRUE(),1,0)</f>
        <v>1</v>
      </c>
      <c r="AD82" s="19" t="b">
        <f ca="1">Calc_Helper!D82</f>
        <v>1</v>
      </c>
      <c r="AE82" s="2">
        <f ca="1">IF(Calc_Helper!D82=TRUE(),1,0)</f>
        <v>1</v>
      </c>
      <c r="AF82" s="19" t="b">
        <f ca="1">Calc_Helper!O82</f>
        <v>1</v>
      </c>
      <c r="AG82" s="2">
        <f ca="1">IF(Calc_Helper!O82=TRUE(),1,0)</f>
        <v>1</v>
      </c>
      <c r="AH82" s="19" t="b">
        <f>Calc_Helper!P82</f>
        <v>0</v>
      </c>
      <c r="AI82" s="2">
        <f>IF(Calc_Helper!P82=TRUE(),1,0)</f>
        <v>0</v>
      </c>
      <c r="AJ82" s="19" t="b">
        <f ca="1">Calc_Helper!Q82</f>
        <v>0</v>
      </c>
      <c r="AK82" s="2">
        <f ca="1">IF(Calc_Helper!Q82=TRUE(),1,0)</f>
        <v>0</v>
      </c>
      <c r="AL82" s="19" t="b">
        <f ca="1">Calc_Helper!R82</f>
        <v>0</v>
      </c>
      <c r="AM82" s="2">
        <f ca="1">IF(Calc_Helper!R82=TRUE(),1,0)</f>
        <v>0</v>
      </c>
      <c r="AN82" s="2" t="str">
        <f>IF(Calc_Helper!S82="","Unknown",Calc_Helper!S82)</f>
        <v>N/A</v>
      </c>
      <c r="AO82" s="2">
        <f>IF(OR(Calc_Helper!S82="Healthy",Calc_Helper!S82="On Track"),1,0)</f>
        <v>0</v>
      </c>
      <c r="AP82" s="2" t="str">
        <f>IFERROR(IF(Calc_Helper!T82="","",Calc_Helper!T82),"")</f>
        <v/>
      </c>
      <c r="AQ82" s="2">
        <f>IF(Calc_Helper!T82=TRUE(),1,0)</f>
        <v>0</v>
      </c>
    </row>
    <row r="83" spans="1:43" x14ac:dyDescent="0.3">
      <c r="A83" s="5" t="str">
        <f>IF(Clean_Data!A83="","Unknown",Clean_Data!A83)</f>
        <v>TSK-0082</v>
      </c>
      <c r="B83" s="5" t="str">
        <f>IF(Clean_Data!B83="","Unknown",Clean_Data!B83)</f>
        <v>Mobile App v2</v>
      </c>
      <c r="C83" s="5" t="str">
        <f>IF(Clean_Data!C83="","Unknown",Clean_Data!C83)</f>
        <v>IT</v>
      </c>
      <c r="D83" s="5" t="str">
        <f>IF(Clean_Data!D83="","Unknown",Clean_Data!D83)</f>
        <v>Rahul Sharma</v>
      </c>
      <c r="E83" s="5" t="str">
        <f>IF(Clean_Data!E83="","Unknown",Clean_Data!E83)</f>
        <v>Designer</v>
      </c>
      <c r="F83" s="5" t="str">
        <f>IF(Clean_Data!F83="","Unknown",Clean_Data!F83)</f>
        <v>High</v>
      </c>
      <c r="G83" s="5" t="str">
        <f>IF(Clean_Data!G83="","Unknown",Clean_Data!G83)</f>
        <v>Testing</v>
      </c>
      <c r="H83" s="5" t="str">
        <f>IF(Clean_Data!K83="","Unknown",Clean_Data!K83)</f>
        <v>Completed</v>
      </c>
      <c r="I83" s="13">
        <f>Clean_Data!H83</f>
        <v>45585</v>
      </c>
      <c r="J83" s="13">
        <f>Clean_Data!I83</f>
        <v>45603</v>
      </c>
      <c r="K83" s="13">
        <f>Clean_Data!J83</f>
        <v>45617</v>
      </c>
      <c r="L83" s="5" t="str">
        <f>IF(Calc_Helper!I83="","Unknown",Calc_Helper!I83)</f>
        <v>2024-11</v>
      </c>
      <c r="M83" s="5" t="str">
        <f>IF(Calc_Helper!J83="","Unknown",Calc_Helper!J83)</f>
        <v>2024-10</v>
      </c>
      <c r="N83" s="19" t="str">
        <f>IF(Calc_Helper!K83="","",Calc_Helper!K83)</f>
        <v>2024-11</v>
      </c>
      <c r="O83" s="5">
        <f>IFERROR(Calc_Helper!L83,"")</f>
        <v>2024</v>
      </c>
      <c r="P83" s="5">
        <f>IFERROR(Calc_Helper!M83,"")</f>
        <v>10</v>
      </c>
      <c r="Q83" s="5" t="str">
        <f>IF(Calc_Helper!N83="","Unknown",Calc_Helper!N83)</f>
        <v>October</v>
      </c>
      <c r="R83" s="17">
        <f>IFERROR(IF(ISNUMBER(Clean_Data!L83),Clean_Data!L83,0),0)</f>
        <v>1</v>
      </c>
      <c r="S83" s="18">
        <f>IFERROR(IF(ISNUMBER(Clean_Data!M83),Clean_Data!M83,0),0)</f>
        <v>19.7</v>
      </c>
      <c r="T83" s="16">
        <f>IF(Clean_Data!N83="","",IFERROR(IF(ISNUMBER(Clean_Data!N83),Clean_Data!N83,""),""))</f>
        <v>13.3</v>
      </c>
      <c r="U83" s="18">
        <f>IFERROR(IF(ISNUMBER(Clean_Data!O83),Clean_Data!O83,0),0)</f>
        <v>-6.3999999999999986</v>
      </c>
      <c r="V83" s="5">
        <f ca="1">IFERROR(IF(ISNUMBER(Calc_Helper!E83),Calc_Helper!E83,0),0)</f>
        <v>0</v>
      </c>
      <c r="W83" s="5">
        <f ca="1">IFERROR(IF(ISNUMBER(Calc_Helper!F83),Calc_Helper!F83,0),0)</f>
        <v>14</v>
      </c>
      <c r="X83" s="5">
        <f>IFERROR(IF(ISNUMBER(Calc_Helper!G83),Calc_Helper!G83,0),0)</f>
        <v>32</v>
      </c>
      <c r="Y83" s="5">
        <f ca="1">IFERROR(IF(ISNUMBER(Calc_Helper!H83),Calc_Helper!H83,0),0)</f>
        <v>32</v>
      </c>
      <c r="Z83" s="20" t="b">
        <f>Calc_Helper!B83</f>
        <v>1</v>
      </c>
      <c r="AA83" s="5">
        <f>IF(Calc_Helper!B83=TRUE(),1,0)</f>
        <v>1</v>
      </c>
      <c r="AB83" s="20" t="b">
        <f>Calc_Helper!C83</f>
        <v>0</v>
      </c>
      <c r="AC83" s="5">
        <f>IF(Calc_Helper!C83=TRUE(),1,0)</f>
        <v>0</v>
      </c>
      <c r="AD83" s="20" t="b">
        <f ca="1">Calc_Helper!D83</f>
        <v>0</v>
      </c>
      <c r="AE83" s="5">
        <f ca="1">IF(Calc_Helper!D83=TRUE(),1,0)</f>
        <v>0</v>
      </c>
      <c r="AF83" s="20" t="b">
        <f ca="1">Calc_Helper!O83</f>
        <v>0</v>
      </c>
      <c r="AG83" s="5">
        <f ca="1">IF(Calc_Helper!O83=TRUE(),1,0)</f>
        <v>0</v>
      </c>
      <c r="AH83" s="20" t="b">
        <f>Calc_Helper!P83</f>
        <v>0</v>
      </c>
      <c r="AI83" s="5">
        <f>IF(Calc_Helper!P83=TRUE(),1,0)</f>
        <v>0</v>
      </c>
      <c r="AJ83" s="20" t="b">
        <f ca="1">Calc_Helper!Q83</f>
        <v>0</v>
      </c>
      <c r="AK83" s="5">
        <f ca="1">IF(Calc_Helper!Q83=TRUE(),1,0)</f>
        <v>0</v>
      </c>
      <c r="AL83" s="20" t="b">
        <f ca="1">Calc_Helper!R83</f>
        <v>0</v>
      </c>
      <c r="AM83" s="5">
        <f ca="1">IF(Calc_Helper!R83=TRUE(),1,0)</f>
        <v>0</v>
      </c>
      <c r="AN83" s="5" t="str">
        <f>IF(Calc_Helper!S83="","Unknown",Calc_Helper!S83)</f>
        <v>Healthy</v>
      </c>
      <c r="AO83" s="5">
        <f>IF(OR(Calc_Helper!S83="Healthy",Calc_Helper!S83="On Track"),1,0)</f>
        <v>1</v>
      </c>
      <c r="AP83" s="20" t="b">
        <f>IFERROR(IF(Calc_Helper!T83="","",Calc_Helper!T83),"")</f>
        <v>0</v>
      </c>
      <c r="AQ83" s="5">
        <f>IF(Calc_Helper!T83=TRUE(),1,0)</f>
        <v>0</v>
      </c>
    </row>
    <row r="84" spans="1:43" x14ac:dyDescent="0.3">
      <c r="A84" s="2" t="str">
        <f>IF(Clean_Data!A84="","Unknown",Clean_Data!A84)</f>
        <v>TSK-0083</v>
      </c>
      <c r="B84" s="2" t="str">
        <f>IF(Clean_Data!B84="","Unknown",Clean_Data!B84)</f>
        <v>Mobile App v2</v>
      </c>
      <c r="C84" s="2" t="str">
        <f>IF(Clean_Data!C84="","Unknown",Clean_Data!C84)</f>
        <v>IT</v>
      </c>
      <c r="D84" s="2" t="str">
        <f>IF(Clean_Data!D84="","Unknown",Clean_Data!D84)</f>
        <v>Vikram Singh</v>
      </c>
      <c r="E84" s="2" t="str">
        <f>IF(Clean_Data!E84="","Unknown",Clean_Data!E84)</f>
        <v>Developer</v>
      </c>
      <c r="F84" s="2" t="str">
        <f>IF(Clean_Data!F84="","Unknown",Clean_Data!F84)</f>
        <v>High</v>
      </c>
      <c r="G84" s="2" t="str">
        <f>IF(Clean_Data!G84="","Unknown",Clean_Data!G84)</f>
        <v>Research</v>
      </c>
      <c r="H84" s="2" t="str">
        <f>IF(Clean_Data!K84="","Unknown",Clean_Data!K84)</f>
        <v>Completed</v>
      </c>
      <c r="I84" s="10">
        <f>Clean_Data!H84</f>
        <v>45385</v>
      </c>
      <c r="J84" s="10">
        <f>Clean_Data!I84</f>
        <v>45397</v>
      </c>
      <c r="K84" s="10">
        <f>Clean_Data!J84</f>
        <v>45391</v>
      </c>
      <c r="L84" s="2" t="str">
        <f>IF(Calc_Helper!I84="","Unknown",Calc_Helper!I84)</f>
        <v>2024-04</v>
      </c>
      <c r="M84" s="2" t="str">
        <f>IF(Calc_Helper!J84="","Unknown",Calc_Helper!J84)</f>
        <v>2024-04</v>
      </c>
      <c r="N84" s="19" t="str">
        <f>IF(Calc_Helper!K84="","",Calc_Helper!K84)</f>
        <v>2024-04</v>
      </c>
      <c r="O84" s="2">
        <f>IFERROR(Calc_Helper!L84,"")</f>
        <v>2024</v>
      </c>
      <c r="P84" s="2">
        <f>IFERROR(Calc_Helper!M84,"")</f>
        <v>4</v>
      </c>
      <c r="Q84" s="2" t="str">
        <f>IF(Calc_Helper!N84="","Unknown",Calc_Helper!N84)</f>
        <v>April</v>
      </c>
      <c r="R84" s="15">
        <f>IFERROR(IF(ISNUMBER(Clean_Data!L84),Clean_Data!L84,0),0)</f>
        <v>1</v>
      </c>
      <c r="S84" s="16">
        <f>IFERROR(IF(ISNUMBER(Clean_Data!M84),Clean_Data!M84,0),0)</f>
        <v>31.2</v>
      </c>
      <c r="T84" s="16">
        <f>IF(Clean_Data!N84="","",IFERROR(IF(ISNUMBER(Clean_Data!N84),Clean_Data!N84,""),""))</f>
        <v>47.7</v>
      </c>
      <c r="U84" s="16">
        <f>IFERROR(IF(ISNUMBER(Clean_Data!O84),Clean_Data!O84,0),0)</f>
        <v>16.500000000000004</v>
      </c>
      <c r="V84" s="2">
        <f ca="1">IFERROR(IF(ISNUMBER(Calc_Helper!E84),Calc_Helper!E84,0),0)</f>
        <v>0</v>
      </c>
      <c r="W84" s="2">
        <f ca="1">IFERROR(IF(ISNUMBER(Calc_Helper!F84),Calc_Helper!F84,0),0)</f>
        <v>0</v>
      </c>
      <c r="X84" s="2">
        <f>IFERROR(IF(ISNUMBER(Calc_Helper!G84),Calc_Helper!G84,0),0)</f>
        <v>6</v>
      </c>
      <c r="Y84" s="2">
        <f ca="1">IFERROR(IF(ISNUMBER(Calc_Helper!H84),Calc_Helper!H84,0),0)</f>
        <v>6</v>
      </c>
      <c r="Z84" s="19" t="b">
        <f>Calc_Helper!B84</f>
        <v>1</v>
      </c>
      <c r="AA84" s="2">
        <f>IF(Calc_Helper!B84=TRUE(),1,0)</f>
        <v>1</v>
      </c>
      <c r="AB84" s="19" t="b">
        <f>Calc_Helper!C84</f>
        <v>0</v>
      </c>
      <c r="AC84" s="2">
        <f>IF(Calc_Helper!C84=TRUE(),1,0)</f>
        <v>0</v>
      </c>
      <c r="AD84" s="19" t="b">
        <f ca="1">Calc_Helper!D84</f>
        <v>0</v>
      </c>
      <c r="AE84" s="2">
        <f ca="1">IF(Calc_Helper!D84=TRUE(),1,0)</f>
        <v>0</v>
      </c>
      <c r="AF84" s="19" t="b">
        <f ca="1">Calc_Helper!O84</f>
        <v>0</v>
      </c>
      <c r="AG84" s="2">
        <f ca="1">IF(Calc_Helper!O84=TRUE(),1,0)</f>
        <v>0</v>
      </c>
      <c r="AH84" s="19" t="b">
        <f>Calc_Helper!P84</f>
        <v>0</v>
      </c>
      <c r="AI84" s="2">
        <f>IF(Calc_Helper!P84=TRUE(),1,0)</f>
        <v>0</v>
      </c>
      <c r="AJ84" s="19" t="b">
        <f ca="1">Calc_Helper!Q84</f>
        <v>0</v>
      </c>
      <c r="AK84" s="2">
        <f ca="1">IF(Calc_Helper!Q84=TRUE(),1,0)</f>
        <v>0</v>
      </c>
      <c r="AL84" s="19" t="b">
        <f ca="1">Calc_Helper!R84</f>
        <v>0</v>
      </c>
      <c r="AM84" s="2">
        <f ca="1">IF(Calc_Helper!R84=TRUE(),1,0)</f>
        <v>0</v>
      </c>
      <c r="AN84" s="2" t="str">
        <f>IF(Calc_Helper!S84="","Unknown",Calc_Helper!S84)</f>
        <v>Over Budget</v>
      </c>
      <c r="AO84" s="2">
        <f>IF(OR(Calc_Helper!S84="Healthy",Calc_Helper!S84="On Track"),1,0)</f>
        <v>0</v>
      </c>
      <c r="AP84" s="19" t="b">
        <f>IFERROR(IF(Calc_Helper!T84="","",Calc_Helper!T84),"")</f>
        <v>1</v>
      </c>
      <c r="AQ84" s="2">
        <f>IF(Calc_Helper!T84=TRUE(),1,0)</f>
        <v>1</v>
      </c>
    </row>
    <row r="85" spans="1:43" x14ac:dyDescent="0.3">
      <c r="A85" s="5" t="str">
        <f>IF(Clean_Data!A85="","Unknown",Clean_Data!A85)</f>
        <v>TSK-0084</v>
      </c>
      <c r="B85" s="5" t="str">
        <f>IF(Clean_Data!B85="","Unknown",Clean_Data!B85)</f>
        <v>Annual Audit</v>
      </c>
      <c r="C85" s="5" t="str">
        <f>IF(Clean_Data!C85="","Unknown",Clean_Data!C85)</f>
        <v>HR</v>
      </c>
      <c r="D85" s="5" t="str">
        <f>IF(Clean_Data!D85="","Unknown",Clean_Data!D85)</f>
        <v>Rahul Sharma</v>
      </c>
      <c r="E85" s="5" t="str">
        <f>IF(Clean_Data!E85="","Unknown",Clean_Data!E85)</f>
        <v>Developer</v>
      </c>
      <c r="F85" s="5" t="str">
        <f>IF(Clean_Data!F85="","Unknown",Clean_Data!F85)</f>
        <v>Low</v>
      </c>
      <c r="G85" s="5" t="str">
        <f>IF(Clean_Data!G85="","Unknown",Clean_Data!G85)</f>
        <v>Documentation</v>
      </c>
      <c r="H85" s="5" t="str">
        <f>IF(Clean_Data!K85="","Unknown",Clean_Data!K85)</f>
        <v>Completed</v>
      </c>
      <c r="I85" s="13">
        <f>Clean_Data!H85</f>
        <v>45565</v>
      </c>
      <c r="J85" s="13">
        <f>Clean_Data!I85</f>
        <v>45577</v>
      </c>
      <c r="K85" s="13">
        <f>Clean_Data!J85</f>
        <v>45582</v>
      </c>
      <c r="L85" s="5" t="str">
        <f>IF(Calc_Helper!I85="","Unknown",Calc_Helper!I85)</f>
        <v>2024-10</v>
      </c>
      <c r="M85" s="5" t="str">
        <f>IF(Calc_Helper!J85="","Unknown",Calc_Helper!J85)</f>
        <v>2024-09</v>
      </c>
      <c r="N85" s="19" t="str">
        <f>IF(Calc_Helper!K85="","",Calc_Helper!K85)</f>
        <v>2024-10</v>
      </c>
      <c r="O85" s="5">
        <f>IFERROR(Calc_Helper!L85,"")</f>
        <v>2024</v>
      </c>
      <c r="P85" s="5">
        <f>IFERROR(Calc_Helper!M85,"")</f>
        <v>9</v>
      </c>
      <c r="Q85" s="5" t="str">
        <f>IF(Calc_Helper!N85="","Unknown",Calc_Helper!N85)</f>
        <v>September</v>
      </c>
      <c r="R85" s="17">
        <f>IFERROR(IF(ISNUMBER(Clean_Data!L85),Clean_Data!L85,0),0)</f>
        <v>1</v>
      </c>
      <c r="S85" s="18">
        <f>IFERROR(IF(ISNUMBER(Clean_Data!M85),Clean_Data!M85,0),0)</f>
        <v>63.1</v>
      </c>
      <c r="T85" s="16">
        <f>IF(Clean_Data!N85="","",IFERROR(IF(ISNUMBER(Clean_Data!N85),Clean_Data!N85,""),""))</f>
        <v>68.599999999999994</v>
      </c>
      <c r="U85" s="18">
        <f>IFERROR(IF(ISNUMBER(Clean_Data!O85),Clean_Data!O85,0),0)</f>
        <v>5.4999999999999929</v>
      </c>
      <c r="V85" s="5">
        <f ca="1">IFERROR(IF(ISNUMBER(Calc_Helper!E85),Calc_Helper!E85,0),0)</f>
        <v>0</v>
      </c>
      <c r="W85" s="5">
        <f ca="1">IFERROR(IF(ISNUMBER(Calc_Helper!F85),Calc_Helper!F85,0),0)</f>
        <v>5</v>
      </c>
      <c r="X85" s="5">
        <f>IFERROR(IF(ISNUMBER(Calc_Helper!G85),Calc_Helper!G85,0),0)</f>
        <v>17</v>
      </c>
      <c r="Y85" s="5">
        <f ca="1">IFERROR(IF(ISNUMBER(Calc_Helper!H85),Calc_Helper!H85,0),0)</f>
        <v>17</v>
      </c>
      <c r="Z85" s="20" t="b">
        <f>Calc_Helper!B85</f>
        <v>1</v>
      </c>
      <c r="AA85" s="5">
        <f>IF(Calc_Helper!B85=TRUE(),1,0)</f>
        <v>1</v>
      </c>
      <c r="AB85" s="20" t="b">
        <f>Calc_Helper!C85</f>
        <v>0</v>
      </c>
      <c r="AC85" s="5">
        <f>IF(Calc_Helper!C85=TRUE(),1,0)</f>
        <v>0</v>
      </c>
      <c r="AD85" s="20" t="b">
        <f ca="1">Calc_Helper!D85</f>
        <v>0</v>
      </c>
      <c r="AE85" s="5">
        <f ca="1">IF(Calc_Helper!D85=TRUE(),1,0)</f>
        <v>0</v>
      </c>
      <c r="AF85" s="20" t="b">
        <f ca="1">Calc_Helper!O85</f>
        <v>0</v>
      </c>
      <c r="AG85" s="5">
        <f ca="1">IF(Calc_Helper!O85=TRUE(),1,0)</f>
        <v>0</v>
      </c>
      <c r="AH85" s="20" t="b">
        <f>Calc_Helper!P85</f>
        <v>0</v>
      </c>
      <c r="AI85" s="5">
        <f>IF(Calc_Helper!P85=TRUE(),1,0)</f>
        <v>0</v>
      </c>
      <c r="AJ85" s="20" t="b">
        <f ca="1">Calc_Helper!Q85</f>
        <v>0</v>
      </c>
      <c r="AK85" s="5">
        <f ca="1">IF(Calc_Helper!Q85=TRUE(),1,0)</f>
        <v>0</v>
      </c>
      <c r="AL85" s="20" t="b">
        <f ca="1">Calc_Helper!R85</f>
        <v>0</v>
      </c>
      <c r="AM85" s="5">
        <f ca="1">IF(Calc_Helper!R85=TRUE(),1,0)</f>
        <v>0</v>
      </c>
      <c r="AN85" s="5" t="str">
        <f>IF(Calc_Helper!S85="","Unknown",Calc_Helper!S85)</f>
        <v>Healthy</v>
      </c>
      <c r="AO85" s="5">
        <f>IF(OR(Calc_Helper!S85="Healthy",Calc_Helper!S85="On Track"),1,0)</f>
        <v>1</v>
      </c>
      <c r="AP85" s="20" t="b">
        <f>IFERROR(IF(Calc_Helper!T85="","",Calc_Helper!T85),"")</f>
        <v>0</v>
      </c>
      <c r="AQ85" s="5">
        <f>IF(Calc_Helper!T85=TRUE(),1,0)</f>
        <v>0</v>
      </c>
    </row>
    <row r="86" spans="1:43" x14ac:dyDescent="0.3">
      <c r="A86" s="2" t="str">
        <f>IF(Clean_Data!A86="","Unknown",Clean_Data!A86)</f>
        <v>TSK-0085</v>
      </c>
      <c r="B86" s="2" t="str">
        <f>IF(Clean_Data!B86="","Unknown",Clean_Data!B86)</f>
        <v>Product Launch</v>
      </c>
      <c r="C86" s="2" t="str">
        <f>IF(Clean_Data!C86="","Unknown",Clean_Data!C86)</f>
        <v>IT</v>
      </c>
      <c r="D86" s="2" t="str">
        <f>IF(Clean_Data!D86="","Unknown",Clean_Data!D86)</f>
        <v>Pooja Reddy</v>
      </c>
      <c r="E86" s="2" t="str">
        <f>IF(Clean_Data!E86="","Unknown",Clean_Data!E86)</f>
        <v>Lead</v>
      </c>
      <c r="F86" s="2" t="str">
        <f>IF(Clean_Data!F86="","Unknown",Clean_Data!F86)</f>
        <v>Medium</v>
      </c>
      <c r="G86" s="2" t="str">
        <f>IF(Clean_Data!G86="","Unknown",Clean_Data!G86)</f>
        <v>Documentation</v>
      </c>
      <c r="H86" s="2" t="str">
        <f>IF(Clean_Data!K86="","Unknown",Clean_Data!K86)</f>
        <v>Completed</v>
      </c>
      <c r="I86" s="10">
        <f>Clean_Data!H86</f>
        <v>45625</v>
      </c>
      <c r="J86" s="10">
        <f>Clean_Data!I86</f>
        <v>45631</v>
      </c>
      <c r="K86" s="10">
        <f>Clean_Data!J86</f>
        <v>45636</v>
      </c>
      <c r="L86" s="2" t="str">
        <f>IF(Calc_Helper!I86="","Unknown",Calc_Helper!I86)</f>
        <v>2024-12</v>
      </c>
      <c r="M86" s="2" t="str">
        <f>IF(Calc_Helper!J86="","Unknown",Calc_Helper!J86)</f>
        <v>2024-11</v>
      </c>
      <c r="N86" s="19" t="str">
        <f>IF(Calc_Helper!K86="","",Calc_Helper!K86)</f>
        <v>2024-12</v>
      </c>
      <c r="O86" s="2">
        <f>IFERROR(Calc_Helper!L86,"")</f>
        <v>2024</v>
      </c>
      <c r="P86" s="2">
        <f>IFERROR(Calc_Helper!M86,"")</f>
        <v>11</v>
      </c>
      <c r="Q86" s="2" t="str">
        <f>IF(Calc_Helper!N86="","Unknown",Calc_Helper!N86)</f>
        <v>November</v>
      </c>
      <c r="R86" s="15">
        <f>IFERROR(IF(ISNUMBER(Clean_Data!L86),Clean_Data!L86,0),0)</f>
        <v>1</v>
      </c>
      <c r="S86" s="16">
        <f>IFERROR(IF(ISNUMBER(Clean_Data!M86),Clean_Data!M86,0),0)</f>
        <v>36.4</v>
      </c>
      <c r="T86" s="16">
        <f>IF(Clean_Data!N86="","",IFERROR(IF(ISNUMBER(Clean_Data!N86),Clean_Data!N86,""),""))</f>
        <v>25.7</v>
      </c>
      <c r="U86" s="16">
        <f>IFERROR(IF(ISNUMBER(Clean_Data!O86),Clean_Data!O86,0),0)</f>
        <v>-10.7</v>
      </c>
      <c r="V86" s="2">
        <f ca="1">IFERROR(IF(ISNUMBER(Calc_Helper!E86),Calc_Helper!E86,0),0)</f>
        <v>0</v>
      </c>
      <c r="W86" s="2">
        <f ca="1">IFERROR(IF(ISNUMBER(Calc_Helper!F86),Calc_Helper!F86,0),0)</f>
        <v>5</v>
      </c>
      <c r="X86" s="2">
        <f>IFERROR(IF(ISNUMBER(Calc_Helper!G86),Calc_Helper!G86,0),0)</f>
        <v>11</v>
      </c>
      <c r="Y86" s="2">
        <f ca="1">IFERROR(IF(ISNUMBER(Calc_Helper!H86),Calc_Helper!H86,0),0)</f>
        <v>11</v>
      </c>
      <c r="Z86" s="19" t="b">
        <f>Calc_Helper!B86</f>
        <v>1</v>
      </c>
      <c r="AA86" s="2">
        <f>IF(Calc_Helper!B86=TRUE(),1,0)</f>
        <v>1</v>
      </c>
      <c r="AB86" s="19" t="b">
        <f>Calc_Helper!C86</f>
        <v>0</v>
      </c>
      <c r="AC86" s="2">
        <f>IF(Calc_Helper!C86=TRUE(),1,0)</f>
        <v>0</v>
      </c>
      <c r="AD86" s="19" t="b">
        <f ca="1">Calc_Helper!D86</f>
        <v>0</v>
      </c>
      <c r="AE86" s="2">
        <f ca="1">IF(Calc_Helper!D86=TRUE(),1,0)</f>
        <v>0</v>
      </c>
      <c r="AF86" s="19" t="b">
        <f ca="1">Calc_Helper!O86</f>
        <v>0</v>
      </c>
      <c r="AG86" s="2">
        <f ca="1">IF(Calc_Helper!O86=TRUE(),1,0)</f>
        <v>0</v>
      </c>
      <c r="AH86" s="19" t="b">
        <f>Calc_Helper!P86</f>
        <v>0</v>
      </c>
      <c r="AI86" s="2">
        <f>IF(Calc_Helper!P86=TRUE(),1,0)</f>
        <v>0</v>
      </c>
      <c r="AJ86" s="19" t="b">
        <f ca="1">Calc_Helper!Q86</f>
        <v>0</v>
      </c>
      <c r="AK86" s="2">
        <f ca="1">IF(Calc_Helper!Q86=TRUE(),1,0)</f>
        <v>0</v>
      </c>
      <c r="AL86" s="19" t="b">
        <f ca="1">Calc_Helper!R86</f>
        <v>0</v>
      </c>
      <c r="AM86" s="2">
        <f ca="1">IF(Calc_Helper!R86=TRUE(),1,0)</f>
        <v>0</v>
      </c>
      <c r="AN86" s="2" t="str">
        <f>IF(Calc_Helper!S86="","Unknown",Calc_Helper!S86)</f>
        <v>Healthy</v>
      </c>
      <c r="AO86" s="2">
        <f>IF(OR(Calc_Helper!S86="Healthy",Calc_Helper!S86="On Track"),1,0)</f>
        <v>1</v>
      </c>
      <c r="AP86" s="19" t="b">
        <f>IFERROR(IF(Calc_Helper!T86="","",Calc_Helper!T86),"")</f>
        <v>0</v>
      </c>
      <c r="AQ86" s="2">
        <f>IF(Calc_Helper!T86=TRUE(),1,0)</f>
        <v>0</v>
      </c>
    </row>
    <row r="87" spans="1:43" x14ac:dyDescent="0.3">
      <c r="A87" s="5" t="str">
        <f>IF(Clean_Data!A87="","Unknown",Clean_Data!A87)</f>
        <v>TSK-0086</v>
      </c>
      <c r="B87" s="5" t="str">
        <f>IF(Clean_Data!B87="","Unknown",Clean_Data!B87)</f>
        <v>CRM Migration</v>
      </c>
      <c r="C87" s="5" t="str">
        <f>IF(Clean_Data!C87="","Unknown",Clean_Data!C87)</f>
        <v>HR</v>
      </c>
      <c r="D87" s="5" t="str">
        <f>IF(Clean_Data!D87="","Unknown",Clean_Data!D87)</f>
        <v>Ananya Das</v>
      </c>
      <c r="E87" s="5" t="str">
        <f>IF(Clean_Data!E87="","Unknown",Clean_Data!E87)</f>
        <v>Developer</v>
      </c>
      <c r="F87" s="5" t="str">
        <f>IF(Clean_Data!F87="","Unknown",Clean_Data!F87)</f>
        <v>High</v>
      </c>
      <c r="G87" s="5" t="str">
        <f>IF(Clean_Data!G87="","Unknown",Clean_Data!G87)</f>
        <v>Testing</v>
      </c>
      <c r="H87" s="5" t="str">
        <f>IF(Clean_Data!K87="","Unknown",Clean_Data!K87)</f>
        <v>Not Started</v>
      </c>
      <c r="I87" s="13">
        <f>Clean_Data!H87</f>
        <v>45436</v>
      </c>
      <c r="J87" s="13">
        <f>Clean_Data!I87</f>
        <v>45480</v>
      </c>
      <c r="K87" s="13" t="str">
        <f>Clean_Data!J87</f>
        <v/>
      </c>
      <c r="L87" s="5" t="str">
        <f>IF(Calc_Helper!I87="","Unknown",Calc_Helper!I87)</f>
        <v>2024-07</v>
      </c>
      <c r="M87" s="5" t="str">
        <f>IF(Calc_Helper!J87="","Unknown",Calc_Helper!J87)</f>
        <v>2024-05</v>
      </c>
      <c r="N87" s="19" t="str">
        <f>IF(Calc_Helper!K87="","",Calc_Helper!K87)</f>
        <v/>
      </c>
      <c r="O87" s="5">
        <f>IFERROR(Calc_Helper!L87,"")</f>
        <v>2024</v>
      </c>
      <c r="P87" s="5">
        <f>IFERROR(Calc_Helper!M87,"")</f>
        <v>5</v>
      </c>
      <c r="Q87" s="5" t="str">
        <f>IF(Calc_Helper!N87="","Unknown",Calc_Helper!N87)</f>
        <v>May</v>
      </c>
      <c r="R87" s="17">
        <f>IFERROR(IF(ISNUMBER(Clean_Data!L87),Clean_Data!L87,0),0)</f>
        <v>0</v>
      </c>
      <c r="S87" s="18">
        <f>IFERROR(IF(ISNUMBER(Clean_Data!M87),Clean_Data!M87,0),0)</f>
        <v>79.599999999999994</v>
      </c>
      <c r="T87" s="16" t="str">
        <f>IF(Clean_Data!N87="","",IFERROR(IF(ISNUMBER(Clean_Data!N87),Clean_Data!N87,""),""))</f>
        <v/>
      </c>
      <c r="U87" s="18">
        <f>IFERROR(IF(ISNUMBER(Clean_Data!O87),Clean_Data!O87,0),0)</f>
        <v>0</v>
      </c>
      <c r="V87" s="5">
        <f ca="1">IFERROR(IF(ISNUMBER(Calc_Helper!E87),Calc_Helper!E87,0),0)</f>
        <v>690</v>
      </c>
      <c r="W87" s="5">
        <f ca="1">IFERROR(IF(ISNUMBER(Calc_Helper!F87),Calc_Helper!F87,0),0)</f>
        <v>646</v>
      </c>
      <c r="X87" s="5">
        <f>IFERROR(IF(ISNUMBER(Calc_Helper!G87),Calc_Helper!G87,0),0)</f>
        <v>0</v>
      </c>
      <c r="Y87" s="5">
        <f ca="1">IFERROR(IF(ISNUMBER(Calc_Helper!H87),Calc_Helper!H87,0),0)</f>
        <v>690</v>
      </c>
      <c r="Z87" s="20" t="b">
        <f>Calc_Helper!B87</f>
        <v>0</v>
      </c>
      <c r="AA87" s="5">
        <f>IF(Calc_Helper!B87=TRUE(),1,0)</f>
        <v>0</v>
      </c>
      <c r="AB87" s="20" t="b">
        <f>Calc_Helper!C87</f>
        <v>1</v>
      </c>
      <c r="AC87" s="5">
        <f>IF(Calc_Helper!C87=TRUE(),1,0)</f>
        <v>1</v>
      </c>
      <c r="AD87" s="20" t="b">
        <f ca="1">Calc_Helper!D87</f>
        <v>1</v>
      </c>
      <c r="AE87" s="5">
        <f ca="1">IF(Calc_Helper!D87=TRUE(),1,0)</f>
        <v>1</v>
      </c>
      <c r="AF87" s="20" t="b">
        <f ca="1">Calc_Helper!O87</f>
        <v>1</v>
      </c>
      <c r="AG87" s="5">
        <f ca="1">IF(Calc_Helper!O87=TRUE(),1,0)</f>
        <v>1</v>
      </c>
      <c r="AH87" s="20" t="b">
        <f>Calc_Helper!P87</f>
        <v>1</v>
      </c>
      <c r="AI87" s="5">
        <f>IF(Calc_Helper!P87=TRUE(),1,0)</f>
        <v>1</v>
      </c>
      <c r="AJ87" s="20" t="b">
        <f ca="1">Calc_Helper!Q87</f>
        <v>1</v>
      </c>
      <c r="AK87" s="5">
        <f ca="1">IF(Calc_Helper!Q87=TRUE(),1,0)</f>
        <v>1</v>
      </c>
      <c r="AL87" s="20" t="b">
        <f ca="1">Calc_Helper!R87</f>
        <v>0</v>
      </c>
      <c r="AM87" s="5">
        <f ca="1">IF(Calc_Helper!R87=TRUE(),1,0)</f>
        <v>0</v>
      </c>
      <c r="AN87" s="5" t="str">
        <f>IF(Calc_Helper!S87="","Unknown",Calc_Helper!S87)</f>
        <v>N/A</v>
      </c>
      <c r="AO87" s="5">
        <f>IF(OR(Calc_Helper!S87="Healthy",Calc_Helper!S87="On Track"),1,0)</f>
        <v>0</v>
      </c>
      <c r="AP87" s="5" t="str">
        <f>IFERROR(IF(Calc_Helper!T87="","",Calc_Helper!T87),"")</f>
        <v/>
      </c>
      <c r="AQ87" s="5">
        <f>IF(Calc_Helper!T87=TRUE(),1,0)</f>
        <v>0</v>
      </c>
    </row>
    <row r="88" spans="1:43" x14ac:dyDescent="0.3">
      <c r="A88" s="2" t="str">
        <f>IF(Clean_Data!A88="","Unknown",Clean_Data!A88)</f>
        <v>TSK-0087</v>
      </c>
      <c r="B88" s="2" t="str">
        <f>IF(Clean_Data!B88="","Unknown",Clean_Data!B88)</f>
        <v>Supply Chain Optimization</v>
      </c>
      <c r="C88" s="2" t="str">
        <f>IF(Clean_Data!C88="","Unknown",Clean_Data!C88)</f>
        <v>Operations</v>
      </c>
      <c r="D88" s="2" t="str">
        <f>IF(Clean_Data!D88="","Unknown",Clean_Data!D88)</f>
        <v>Priya Patel</v>
      </c>
      <c r="E88" s="2" t="str">
        <f>IF(Clean_Data!E88="","Unknown",Clean_Data!E88)</f>
        <v>Developer</v>
      </c>
      <c r="F88" s="2" t="str">
        <f>IF(Clean_Data!F88="","Unknown",Clean_Data!F88)</f>
        <v>Critical</v>
      </c>
      <c r="G88" s="2" t="str">
        <f>IF(Clean_Data!G88="","Unknown",Clean_Data!G88)</f>
        <v>Design</v>
      </c>
      <c r="H88" s="2" t="str">
        <f>IF(Clean_Data!K88="","Unknown",Clean_Data!K88)</f>
        <v>In Progress</v>
      </c>
      <c r="I88" s="10">
        <f>Clean_Data!H88</f>
        <v>45516</v>
      </c>
      <c r="J88" s="10">
        <f>Clean_Data!I88</f>
        <v>45549</v>
      </c>
      <c r="K88" s="10" t="str">
        <f>Clean_Data!J88</f>
        <v/>
      </c>
      <c r="L88" s="2" t="str">
        <f>IF(Calc_Helper!I88="","Unknown",Calc_Helper!I88)</f>
        <v>2024-09</v>
      </c>
      <c r="M88" s="2" t="str">
        <f>IF(Calc_Helper!J88="","Unknown",Calc_Helper!J88)</f>
        <v>2024-08</v>
      </c>
      <c r="N88" s="19" t="str">
        <f>IF(Calc_Helper!K88="","",Calc_Helper!K88)</f>
        <v/>
      </c>
      <c r="O88" s="2">
        <f>IFERROR(Calc_Helper!L88,"")</f>
        <v>2024</v>
      </c>
      <c r="P88" s="2">
        <f>IFERROR(Calc_Helper!M88,"")</f>
        <v>8</v>
      </c>
      <c r="Q88" s="2" t="str">
        <f>IF(Calc_Helper!N88="","Unknown",Calc_Helper!N88)</f>
        <v>August</v>
      </c>
      <c r="R88" s="15">
        <f>IFERROR(IF(ISNUMBER(Clean_Data!L88),Clean_Data!L88,0),0)</f>
        <v>0</v>
      </c>
      <c r="S88" s="16">
        <f>IFERROR(IF(ISNUMBER(Clean_Data!M88),Clean_Data!M88,0),0)</f>
        <v>35.6</v>
      </c>
      <c r="T88" s="16" t="str">
        <f>IF(Clean_Data!N88="","",IFERROR(IF(ISNUMBER(Clean_Data!N88),Clean_Data!N88,""),""))</f>
        <v/>
      </c>
      <c r="U88" s="16">
        <f>IFERROR(IF(ISNUMBER(Clean_Data!O88),Clean_Data!O88,0),0)</f>
        <v>0</v>
      </c>
      <c r="V88" s="2">
        <f ca="1">IFERROR(IF(ISNUMBER(Calc_Helper!E88),Calc_Helper!E88,0),0)</f>
        <v>610</v>
      </c>
      <c r="W88" s="2">
        <f ca="1">IFERROR(IF(ISNUMBER(Calc_Helper!F88),Calc_Helper!F88,0),0)</f>
        <v>577</v>
      </c>
      <c r="X88" s="2">
        <f>IFERROR(IF(ISNUMBER(Calc_Helper!G88),Calc_Helper!G88,0),0)</f>
        <v>0</v>
      </c>
      <c r="Y88" s="2">
        <f ca="1">IFERROR(IF(ISNUMBER(Calc_Helper!H88),Calc_Helper!H88,0),0)</f>
        <v>610</v>
      </c>
      <c r="Z88" s="19" t="b">
        <f>Calc_Helper!B88</f>
        <v>0</v>
      </c>
      <c r="AA88" s="2">
        <f>IF(Calc_Helper!B88=TRUE(),1,0)</f>
        <v>0</v>
      </c>
      <c r="AB88" s="19" t="b">
        <f>Calc_Helper!C88</f>
        <v>1</v>
      </c>
      <c r="AC88" s="2">
        <f>IF(Calc_Helper!C88=TRUE(),1,0)</f>
        <v>1</v>
      </c>
      <c r="AD88" s="19" t="b">
        <f ca="1">Calc_Helper!D88</f>
        <v>1</v>
      </c>
      <c r="AE88" s="2">
        <f ca="1">IF(Calc_Helper!D88=TRUE(),1,0)</f>
        <v>1</v>
      </c>
      <c r="AF88" s="19" t="b">
        <f ca="1">Calc_Helper!O88</f>
        <v>1</v>
      </c>
      <c r="AG88" s="2">
        <f ca="1">IF(Calc_Helper!O88=TRUE(),1,0)</f>
        <v>1</v>
      </c>
      <c r="AH88" s="19" t="b">
        <f>Calc_Helper!P88</f>
        <v>1</v>
      </c>
      <c r="AI88" s="2">
        <f>IF(Calc_Helper!P88=TRUE(),1,0)</f>
        <v>1</v>
      </c>
      <c r="AJ88" s="19" t="b">
        <f ca="1">Calc_Helper!Q88</f>
        <v>1</v>
      </c>
      <c r="AK88" s="2">
        <f ca="1">IF(Calc_Helper!Q88=TRUE(),1,0)</f>
        <v>1</v>
      </c>
      <c r="AL88" s="19" t="b">
        <f ca="1">Calc_Helper!R88</f>
        <v>1</v>
      </c>
      <c r="AM88" s="2">
        <f ca="1">IF(Calc_Helper!R88=TRUE(),1,0)</f>
        <v>1</v>
      </c>
      <c r="AN88" s="2" t="str">
        <f>IF(Calc_Helper!S88="","Unknown",Calc_Helper!S88)</f>
        <v>N/A</v>
      </c>
      <c r="AO88" s="2">
        <f>IF(OR(Calc_Helper!S88="Healthy",Calc_Helper!S88="On Track"),1,0)</f>
        <v>0</v>
      </c>
      <c r="AP88" s="2" t="str">
        <f>IFERROR(IF(Calc_Helper!T88="","",Calc_Helper!T88),"")</f>
        <v/>
      </c>
      <c r="AQ88" s="2">
        <f>IF(Calc_Helper!T88=TRUE(),1,0)</f>
        <v>0</v>
      </c>
    </row>
    <row r="89" spans="1:43" x14ac:dyDescent="0.3">
      <c r="A89" s="5" t="str">
        <f>IF(Clean_Data!A89="","Unknown",Clean_Data!A89)</f>
        <v>TSK-0088</v>
      </c>
      <c r="B89" s="5" t="str">
        <f>IF(Clean_Data!B89="","Unknown",Clean_Data!B89)</f>
        <v>Employee Onboarding</v>
      </c>
      <c r="C89" s="5" t="str">
        <f>IF(Clean_Data!C89="","Unknown",Clean_Data!C89)</f>
        <v>Operations</v>
      </c>
      <c r="D89" s="5" t="str">
        <f>IF(Clean_Data!D89="","Unknown",Clean_Data!D89)</f>
        <v>Amit Verma</v>
      </c>
      <c r="E89" s="5" t="str">
        <f>IF(Clean_Data!E89="","Unknown",Clean_Data!E89)</f>
        <v>Lead</v>
      </c>
      <c r="F89" s="5" t="str">
        <f>IF(Clean_Data!F89="","Unknown",Clean_Data!F89)</f>
        <v>High</v>
      </c>
      <c r="G89" s="5" t="str">
        <f>IF(Clean_Data!G89="","Unknown",Clean_Data!G89)</f>
        <v>Development</v>
      </c>
      <c r="H89" s="5" t="str">
        <f>IF(Clean_Data!K89="","Unknown",Clean_Data!K89)</f>
        <v>On Hold</v>
      </c>
      <c r="I89" s="13">
        <f>Clean_Data!H89</f>
        <v>45339</v>
      </c>
      <c r="J89" s="13">
        <f>Clean_Data!I89</f>
        <v>45349</v>
      </c>
      <c r="K89" s="13" t="str">
        <f>Clean_Data!J89</f>
        <v/>
      </c>
      <c r="L89" s="5" t="str">
        <f>IF(Calc_Helper!I89="","Unknown",Calc_Helper!I89)</f>
        <v>2024-02</v>
      </c>
      <c r="M89" s="5" t="str">
        <f>IF(Calc_Helper!J89="","Unknown",Calc_Helper!J89)</f>
        <v>2024-02</v>
      </c>
      <c r="N89" s="19" t="str">
        <f>IF(Calc_Helper!K89="","",Calc_Helper!K89)</f>
        <v/>
      </c>
      <c r="O89" s="5">
        <f>IFERROR(Calc_Helper!L89,"")</f>
        <v>2024</v>
      </c>
      <c r="P89" s="5">
        <f>IFERROR(Calc_Helper!M89,"")</f>
        <v>2</v>
      </c>
      <c r="Q89" s="5" t="str">
        <f>IF(Calc_Helper!N89="","Unknown",Calc_Helper!N89)</f>
        <v>February</v>
      </c>
      <c r="R89" s="17">
        <f>IFERROR(IF(ISNUMBER(Clean_Data!L89),Clean_Data!L89,0),0)</f>
        <v>0</v>
      </c>
      <c r="S89" s="18">
        <f>IFERROR(IF(ISNUMBER(Clean_Data!M89),Clean_Data!M89,0),0)</f>
        <v>60.1</v>
      </c>
      <c r="T89" s="16" t="str">
        <f>IF(Clean_Data!N89="","",IFERROR(IF(ISNUMBER(Clean_Data!N89),Clean_Data!N89,""),""))</f>
        <v/>
      </c>
      <c r="U89" s="18">
        <f>IFERROR(IF(ISNUMBER(Clean_Data!O89),Clean_Data!O89,0),0)</f>
        <v>0</v>
      </c>
      <c r="V89" s="5">
        <f ca="1">IFERROR(IF(ISNUMBER(Calc_Helper!E89),Calc_Helper!E89,0),0)</f>
        <v>787</v>
      </c>
      <c r="W89" s="5">
        <f ca="1">IFERROR(IF(ISNUMBER(Calc_Helper!F89),Calc_Helper!F89,0),0)</f>
        <v>777</v>
      </c>
      <c r="X89" s="5">
        <f>IFERROR(IF(ISNUMBER(Calc_Helper!G89),Calc_Helper!G89,0),0)</f>
        <v>0</v>
      </c>
      <c r="Y89" s="5">
        <f ca="1">IFERROR(IF(ISNUMBER(Calc_Helper!H89),Calc_Helper!H89,0),0)</f>
        <v>787</v>
      </c>
      <c r="Z89" s="20" t="b">
        <f>Calc_Helper!B89</f>
        <v>0</v>
      </c>
      <c r="AA89" s="5">
        <f>IF(Calc_Helper!B89=TRUE(),1,0)</f>
        <v>0</v>
      </c>
      <c r="AB89" s="20" t="b">
        <f>Calc_Helper!C89</f>
        <v>1</v>
      </c>
      <c r="AC89" s="5">
        <f>IF(Calc_Helper!C89=TRUE(),1,0)</f>
        <v>1</v>
      </c>
      <c r="AD89" s="20" t="b">
        <f ca="1">Calc_Helper!D89</f>
        <v>1</v>
      </c>
      <c r="AE89" s="5">
        <f ca="1">IF(Calc_Helper!D89=TRUE(),1,0)</f>
        <v>1</v>
      </c>
      <c r="AF89" s="20" t="b">
        <f ca="1">Calc_Helper!O89</f>
        <v>1</v>
      </c>
      <c r="AG89" s="5">
        <f ca="1">IF(Calc_Helper!O89=TRUE(),1,0)</f>
        <v>1</v>
      </c>
      <c r="AH89" s="20" t="b">
        <f>Calc_Helper!P89</f>
        <v>1</v>
      </c>
      <c r="AI89" s="5">
        <f>IF(Calc_Helper!P89=TRUE(),1,0)</f>
        <v>1</v>
      </c>
      <c r="AJ89" s="20" t="b">
        <f ca="1">Calc_Helper!Q89</f>
        <v>1</v>
      </c>
      <c r="AK89" s="5">
        <f ca="1">IF(Calc_Helper!Q89=TRUE(),1,0)</f>
        <v>1</v>
      </c>
      <c r="AL89" s="20" t="b">
        <f ca="1">Calc_Helper!R89</f>
        <v>0</v>
      </c>
      <c r="AM89" s="5">
        <f ca="1">IF(Calc_Helper!R89=TRUE(),1,0)</f>
        <v>0</v>
      </c>
      <c r="AN89" s="5" t="str">
        <f>IF(Calc_Helper!S89="","Unknown",Calc_Helper!S89)</f>
        <v>N/A</v>
      </c>
      <c r="AO89" s="5">
        <f>IF(OR(Calc_Helper!S89="Healthy",Calc_Helper!S89="On Track"),1,0)</f>
        <v>0</v>
      </c>
      <c r="AP89" s="5" t="str">
        <f>IFERROR(IF(Calc_Helper!T89="","",Calc_Helper!T89),"")</f>
        <v/>
      </c>
      <c r="AQ89" s="5">
        <f>IF(Calc_Helper!T89=TRUE(),1,0)</f>
        <v>0</v>
      </c>
    </row>
    <row r="90" spans="1:43" x14ac:dyDescent="0.3">
      <c r="A90" s="2" t="str">
        <f>IF(Clean_Data!A90="","Unknown",Clean_Data!A90)</f>
        <v>TSK-0089</v>
      </c>
      <c r="B90" s="2" t="str">
        <f>IF(Clean_Data!B90="","Unknown",Clean_Data!B90)</f>
        <v>Mobile App v2</v>
      </c>
      <c r="C90" s="2" t="str">
        <f>IF(Clean_Data!C90="","Unknown",Clean_Data!C90)</f>
        <v>HR</v>
      </c>
      <c r="D90" s="2" t="str">
        <f>IF(Clean_Data!D90="","Unknown",Clean_Data!D90)</f>
        <v>Rohan Iyer</v>
      </c>
      <c r="E90" s="2" t="str">
        <f>IF(Clean_Data!E90="","Unknown",Clean_Data!E90)</f>
        <v>Developer</v>
      </c>
      <c r="F90" s="2" t="str">
        <f>IF(Clean_Data!F90="","Unknown",Clean_Data!F90)</f>
        <v>Medium</v>
      </c>
      <c r="G90" s="2" t="str">
        <f>IF(Clean_Data!G90="","Unknown",Clean_Data!G90)</f>
        <v>Review</v>
      </c>
      <c r="H90" s="2" t="str">
        <f>IF(Clean_Data!K90="","Unknown",Clean_Data!K90)</f>
        <v>On Hold</v>
      </c>
      <c r="I90" s="10">
        <f>Clean_Data!H90</f>
        <v>45636</v>
      </c>
      <c r="J90" s="10">
        <f>Clean_Data!I90</f>
        <v>45689</v>
      </c>
      <c r="K90" s="10" t="str">
        <f>Clean_Data!J90</f>
        <v/>
      </c>
      <c r="L90" s="2" t="str">
        <f>IF(Calc_Helper!I90="","Unknown",Calc_Helper!I90)</f>
        <v>2025-02</v>
      </c>
      <c r="M90" s="2" t="str">
        <f>IF(Calc_Helper!J90="","Unknown",Calc_Helper!J90)</f>
        <v>2024-12</v>
      </c>
      <c r="N90" s="19" t="str">
        <f>IF(Calc_Helper!K90="","",Calc_Helper!K90)</f>
        <v/>
      </c>
      <c r="O90" s="2">
        <f>IFERROR(Calc_Helper!L90,"")</f>
        <v>2024</v>
      </c>
      <c r="P90" s="2">
        <f>IFERROR(Calc_Helper!M90,"")</f>
        <v>12</v>
      </c>
      <c r="Q90" s="2" t="str">
        <f>IF(Calc_Helper!N90="","Unknown",Calc_Helper!N90)</f>
        <v>December</v>
      </c>
      <c r="R90" s="15">
        <f>IFERROR(IF(ISNUMBER(Clean_Data!L90),Clean_Data!L90,0),0)</f>
        <v>0</v>
      </c>
      <c r="S90" s="16">
        <f>IFERROR(IF(ISNUMBER(Clean_Data!M90),Clean_Data!M90,0),0)</f>
        <v>49.6</v>
      </c>
      <c r="T90" s="16">
        <f>IF(Clean_Data!N90="","",IFERROR(IF(ISNUMBER(Clean_Data!N90),Clean_Data!N90,""),""))</f>
        <v>0</v>
      </c>
      <c r="U90" s="16">
        <f>IFERROR(IF(ISNUMBER(Clean_Data!O90),Clean_Data!O90,0),0)</f>
        <v>-49.6</v>
      </c>
      <c r="V90" s="2">
        <f ca="1">IFERROR(IF(ISNUMBER(Calc_Helper!E90),Calc_Helper!E90,0),0)</f>
        <v>490</v>
      </c>
      <c r="W90" s="2">
        <f ca="1">IFERROR(IF(ISNUMBER(Calc_Helper!F90),Calc_Helper!F90,0),0)</f>
        <v>437</v>
      </c>
      <c r="X90" s="2">
        <f>IFERROR(IF(ISNUMBER(Calc_Helper!G90),Calc_Helper!G90,0),0)</f>
        <v>0</v>
      </c>
      <c r="Y90" s="2">
        <f ca="1">IFERROR(IF(ISNUMBER(Calc_Helper!H90),Calc_Helper!H90,0),0)</f>
        <v>490</v>
      </c>
      <c r="Z90" s="19" t="b">
        <f>Calc_Helper!B90</f>
        <v>0</v>
      </c>
      <c r="AA90" s="2">
        <f>IF(Calc_Helper!B90=TRUE(),1,0)</f>
        <v>0</v>
      </c>
      <c r="AB90" s="19" t="b">
        <f>Calc_Helper!C90</f>
        <v>1</v>
      </c>
      <c r="AC90" s="2">
        <f>IF(Calc_Helper!C90=TRUE(),1,0)</f>
        <v>1</v>
      </c>
      <c r="AD90" s="19" t="b">
        <f ca="1">Calc_Helper!D90</f>
        <v>1</v>
      </c>
      <c r="AE90" s="2">
        <f ca="1">IF(Calc_Helper!D90=TRUE(),1,0)</f>
        <v>1</v>
      </c>
      <c r="AF90" s="19" t="b">
        <f ca="1">Calc_Helper!O90</f>
        <v>1</v>
      </c>
      <c r="AG90" s="2">
        <f ca="1">IF(Calc_Helper!O90=TRUE(),1,0)</f>
        <v>1</v>
      </c>
      <c r="AH90" s="19" t="b">
        <f>Calc_Helper!P90</f>
        <v>0</v>
      </c>
      <c r="AI90" s="2">
        <f>IF(Calc_Helper!P90=TRUE(),1,0)</f>
        <v>0</v>
      </c>
      <c r="AJ90" s="19" t="b">
        <f ca="1">Calc_Helper!Q90</f>
        <v>0</v>
      </c>
      <c r="AK90" s="2">
        <f ca="1">IF(Calc_Helper!Q90=TRUE(),1,0)</f>
        <v>0</v>
      </c>
      <c r="AL90" s="19" t="b">
        <f ca="1">Calc_Helper!R90</f>
        <v>0</v>
      </c>
      <c r="AM90" s="2">
        <f ca="1">IF(Calc_Helper!R90=TRUE(),1,0)</f>
        <v>0</v>
      </c>
      <c r="AN90" s="2" t="str">
        <f>IF(Calc_Helper!S90="","Unknown",Calc_Helper!S90)</f>
        <v>N/A</v>
      </c>
      <c r="AO90" s="2">
        <f>IF(OR(Calc_Helper!S90="Healthy",Calc_Helper!S90="On Track"),1,0)</f>
        <v>0</v>
      </c>
      <c r="AP90" s="2" t="str">
        <f>IFERROR(IF(Calc_Helper!T90="","",Calc_Helper!T90),"")</f>
        <v/>
      </c>
      <c r="AQ90" s="2">
        <f>IF(Calc_Helper!T90=TRUE(),1,0)</f>
        <v>0</v>
      </c>
    </row>
    <row r="91" spans="1:43" x14ac:dyDescent="0.3">
      <c r="A91" s="5" t="str">
        <f>IF(Clean_Data!A91="","Unknown",Clean_Data!A91)</f>
        <v>TSK-0090</v>
      </c>
      <c r="B91" s="5" t="str">
        <f>IF(Clean_Data!B91="","Unknown",Clean_Data!B91)</f>
        <v>Supply Chain Optimization</v>
      </c>
      <c r="C91" s="5" t="str">
        <f>IF(Clean_Data!C91="","Unknown",Clean_Data!C91)</f>
        <v>Marketing</v>
      </c>
      <c r="D91" s="5" t="str">
        <f>IF(Clean_Data!D91="","Unknown",Clean_Data!D91)</f>
        <v>Amit Verma</v>
      </c>
      <c r="E91" s="5" t="str">
        <f>IF(Clean_Data!E91="","Unknown",Clean_Data!E91)</f>
        <v>Lead</v>
      </c>
      <c r="F91" s="5" t="str">
        <f>IF(Clean_Data!F91="","Unknown",Clean_Data!F91)</f>
        <v>High</v>
      </c>
      <c r="G91" s="5" t="str">
        <f>IF(Clean_Data!G91="","Unknown",Clean_Data!G91)</f>
        <v>Testing</v>
      </c>
      <c r="H91" s="5" t="str">
        <f>IF(Clean_Data!K91="","Unknown",Clean_Data!K91)</f>
        <v>Not Started</v>
      </c>
      <c r="I91" s="13">
        <f>Clean_Data!H91</f>
        <v>45475</v>
      </c>
      <c r="J91" s="13">
        <f>Clean_Data!I91</f>
        <v>45534</v>
      </c>
      <c r="K91" s="13" t="str">
        <f>Clean_Data!J91</f>
        <v/>
      </c>
      <c r="L91" s="5" t="str">
        <f>IF(Calc_Helper!I91="","Unknown",Calc_Helper!I91)</f>
        <v>2024-08</v>
      </c>
      <c r="M91" s="5" t="str">
        <f>IF(Calc_Helper!J91="","Unknown",Calc_Helper!J91)</f>
        <v>2024-07</v>
      </c>
      <c r="N91" s="19" t="str">
        <f>IF(Calc_Helper!K91="","",Calc_Helper!K91)</f>
        <v/>
      </c>
      <c r="O91" s="5">
        <f>IFERROR(Calc_Helper!L91,"")</f>
        <v>2024</v>
      </c>
      <c r="P91" s="5">
        <f>IFERROR(Calc_Helper!M91,"")</f>
        <v>7</v>
      </c>
      <c r="Q91" s="5" t="str">
        <f>IF(Calc_Helper!N91="","Unknown",Calc_Helper!N91)</f>
        <v>July</v>
      </c>
      <c r="R91" s="17">
        <f>IFERROR(IF(ISNUMBER(Clean_Data!L91),Clean_Data!L91,0),0)</f>
        <v>0</v>
      </c>
      <c r="S91" s="18">
        <f>IFERROR(IF(ISNUMBER(Clean_Data!M91),Clean_Data!M91,0),0)</f>
        <v>62</v>
      </c>
      <c r="T91" s="16" t="str">
        <f>IF(Clean_Data!N91="","",IFERROR(IF(ISNUMBER(Clean_Data!N91),Clean_Data!N91,""),""))</f>
        <v/>
      </c>
      <c r="U91" s="18">
        <f>IFERROR(IF(ISNUMBER(Clean_Data!O91),Clean_Data!O91,0),0)</f>
        <v>0</v>
      </c>
      <c r="V91" s="5">
        <f ca="1">IFERROR(IF(ISNUMBER(Calc_Helper!E91),Calc_Helper!E91,0),0)</f>
        <v>651</v>
      </c>
      <c r="W91" s="5">
        <f ca="1">IFERROR(IF(ISNUMBER(Calc_Helper!F91),Calc_Helper!F91,0),0)</f>
        <v>592</v>
      </c>
      <c r="X91" s="5">
        <f>IFERROR(IF(ISNUMBER(Calc_Helper!G91),Calc_Helper!G91,0),0)</f>
        <v>0</v>
      </c>
      <c r="Y91" s="5">
        <f ca="1">IFERROR(IF(ISNUMBER(Calc_Helper!H91),Calc_Helper!H91,0),0)</f>
        <v>651</v>
      </c>
      <c r="Z91" s="20" t="b">
        <f>Calc_Helper!B91</f>
        <v>0</v>
      </c>
      <c r="AA91" s="5">
        <f>IF(Calc_Helper!B91=TRUE(),1,0)</f>
        <v>0</v>
      </c>
      <c r="AB91" s="20" t="b">
        <f>Calc_Helper!C91</f>
        <v>1</v>
      </c>
      <c r="AC91" s="5">
        <f>IF(Calc_Helper!C91=TRUE(),1,0)</f>
        <v>1</v>
      </c>
      <c r="AD91" s="20" t="b">
        <f ca="1">Calc_Helper!D91</f>
        <v>1</v>
      </c>
      <c r="AE91" s="5">
        <f ca="1">IF(Calc_Helper!D91=TRUE(),1,0)</f>
        <v>1</v>
      </c>
      <c r="AF91" s="20" t="b">
        <f ca="1">Calc_Helper!O91</f>
        <v>1</v>
      </c>
      <c r="AG91" s="5">
        <f ca="1">IF(Calc_Helper!O91=TRUE(),1,0)</f>
        <v>1</v>
      </c>
      <c r="AH91" s="20" t="b">
        <f>Calc_Helper!P91</f>
        <v>1</v>
      </c>
      <c r="AI91" s="5">
        <f>IF(Calc_Helper!P91=TRUE(),1,0)</f>
        <v>1</v>
      </c>
      <c r="AJ91" s="20" t="b">
        <f ca="1">Calc_Helper!Q91</f>
        <v>1</v>
      </c>
      <c r="AK91" s="5">
        <f ca="1">IF(Calc_Helper!Q91=TRUE(),1,0)</f>
        <v>1</v>
      </c>
      <c r="AL91" s="20" t="b">
        <f ca="1">Calc_Helper!R91</f>
        <v>0</v>
      </c>
      <c r="AM91" s="5">
        <f ca="1">IF(Calc_Helper!R91=TRUE(),1,0)</f>
        <v>0</v>
      </c>
      <c r="AN91" s="5" t="str">
        <f>IF(Calc_Helper!S91="","Unknown",Calc_Helper!S91)</f>
        <v>N/A</v>
      </c>
      <c r="AO91" s="5">
        <f>IF(OR(Calc_Helper!S91="Healthy",Calc_Helper!S91="On Track"),1,0)</f>
        <v>0</v>
      </c>
      <c r="AP91" s="5" t="str">
        <f>IFERROR(IF(Calc_Helper!T91="","",Calc_Helper!T91),"")</f>
        <v/>
      </c>
      <c r="AQ91" s="5">
        <f>IF(Calc_Helper!T91=TRUE(),1,0)</f>
        <v>0</v>
      </c>
    </row>
    <row r="92" spans="1:43" x14ac:dyDescent="0.3">
      <c r="A92" s="2" t="str">
        <f>IF(Clean_Data!A92="","Unknown",Clean_Data!A92)</f>
        <v>TSK-0091</v>
      </c>
      <c r="B92" s="2" t="str">
        <f>IF(Clean_Data!B92="","Unknown",Clean_Data!B92)</f>
        <v>Supply Chain Optimization</v>
      </c>
      <c r="C92" s="2" t="str">
        <f>IF(Clean_Data!C92="","Unknown",Clean_Data!C92)</f>
        <v>IT</v>
      </c>
      <c r="D92" s="2" t="str">
        <f>IF(Clean_Data!D92="","Unknown",Clean_Data!D92)</f>
        <v>Ananya Das</v>
      </c>
      <c r="E92" s="2" t="str">
        <f>IF(Clean_Data!E92="","Unknown",Clean_Data!E92)</f>
        <v>Manager</v>
      </c>
      <c r="F92" s="2" t="str">
        <f>IF(Clean_Data!F92="","Unknown",Clean_Data!F92)</f>
        <v>High</v>
      </c>
      <c r="G92" s="2" t="str">
        <f>IF(Clean_Data!G92="","Unknown",Clean_Data!G92)</f>
        <v>Design</v>
      </c>
      <c r="H92" s="2" t="str">
        <f>IF(Clean_Data!K92="","Unknown",Clean_Data!K92)</f>
        <v>Not Started</v>
      </c>
      <c r="I92" s="10">
        <f>Clean_Data!H92</f>
        <v>45435</v>
      </c>
      <c r="J92" s="10">
        <f>Clean_Data!I92</f>
        <v>45484</v>
      </c>
      <c r="K92" s="10" t="str">
        <f>Clean_Data!J92</f>
        <v/>
      </c>
      <c r="L92" s="2" t="str">
        <f>IF(Calc_Helper!I92="","Unknown",Calc_Helper!I92)</f>
        <v>2024-07</v>
      </c>
      <c r="M92" s="2" t="str">
        <f>IF(Calc_Helper!J92="","Unknown",Calc_Helper!J92)</f>
        <v>2024-05</v>
      </c>
      <c r="N92" s="19" t="str">
        <f>IF(Calc_Helper!K92="","",Calc_Helper!K92)</f>
        <v/>
      </c>
      <c r="O92" s="2">
        <f>IFERROR(Calc_Helper!L92,"")</f>
        <v>2024</v>
      </c>
      <c r="P92" s="2">
        <f>IFERROR(Calc_Helper!M92,"")</f>
        <v>5</v>
      </c>
      <c r="Q92" s="2" t="str">
        <f>IF(Calc_Helper!N92="","Unknown",Calc_Helper!N92)</f>
        <v>May</v>
      </c>
      <c r="R92" s="15">
        <f>IFERROR(IF(ISNUMBER(Clean_Data!L92),Clean_Data!L92,0),0)</f>
        <v>0</v>
      </c>
      <c r="S92" s="16">
        <f>IFERROR(IF(ISNUMBER(Clean_Data!M92),Clean_Data!M92,0),0)</f>
        <v>30.7</v>
      </c>
      <c r="T92" s="16" t="str">
        <f>IF(Clean_Data!N92="","",IFERROR(IF(ISNUMBER(Clean_Data!N92),Clean_Data!N92,""),""))</f>
        <v/>
      </c>
      <c r="U92" s="16">
        <f>IFERROR(IF(ISNUMBER(Clean_Data!O92),Clean_Data!O92,0),0)</f>
        <v>0</v>
      </c>
      <c r="V92" s="2">
        <f ca="1">IFERROR(IF(ISNUMBER(Calc_Helper!E92),Calc_Helper!E92,0),0)</f>
        <v>691</v>
      </c>
      <c r="W92" s="2">
        <f ca="1">IFERROR(IF(ISNUMBER(Calc_Helper!F92),Calc_Helper!F92,0),0)</f>
        <v>642</v>
      </c>
      <c r="X92" s="2">
        <f>IFERROR(IF(ISNUMBER(Calc_Helper!G92),Calc_Helper!G92,0),0)</f>
        <v>0</v>
      </c>
      <c r="Y92" s="2">
        <f ca="1">IFERROR(IF(ISNUMBER(Calc_Helper!H92),Calc_Helper!H92,0),0)</f>
        <v>691</v>
      </c>
      <c r="Z92" s="19" t="b">
        <f>Calc_Helper!B92</f>
        <v>0</v>
      </c>
      <c r="AA92" s="2">
        <f>IF(Calc_Helper!B92=TRUE(),1,0)</f>
        <v>0</v>
      </c>
      <c r="AB92" s="19" t="b">
        <f>Calc_Helper!C92</f>
        <v>1</v>
      </c>
      <c r="AC92" s="2">
        <f>IF(Calc_Helper!C92=TRUE(),1,0)</f>
        <v>1</v>
      </c>
      <c r="AD92" s="19" t="b">
        <f ca="1">Calc_Helper!D92</f>
        <v>1</v>
      </c>
      <c r="AE92" s="2">
        <f ca="1">IF(Calc_Helper!D92=TRUE(),1,0)</f>
        <v>1</v>
      </c>
      <c r="AF92" s="19" t="b">
        <f ca="1">Calc_Helper!O92</f>
        <v>1</v>
      </c>
      <c r="AG92" s="2">
        <f ca="1">IF(Calc_Helper!O92=TRUE(),1,0)</f>
        <v>1</v>
      </c>
      <c r="AH92" s="19" t="b">
        <f>Calc_Helper!P92</f>
        <v>1</v>
      </c>
      <c r="AI92" s="2">
        <f>IF(Calc_Helper!P92=TRUE(),1,0)</f>
        <v>1</v>
      </c>
      <c r="AJ92" s="19" t="b">
        <f ca="1">Calc_Helper!Q92</f>
        <v>1</v>
      </c>
      <c r="AK92" s="2">
        <f ca="1">IF(Calc_Helper!Q92=TRUE(),1,0)</f>
        <v>1</v>
      </c>
      <c r="AL92" s="19" t="b">
        <f ca="1">Calc_Helper!R92</f>
        <v>0</v>
      </c>
      <c r="AM92" s="2">
        <f ca="1">IF(Calc_Helper!R92=TRUE(),1,0)</f>
        <v>0</v>
      </c>
      <c r="AN92" s="2" t="str">
        <f>IF(Calc_Helper!S92="","Unknown",Calc_Helper!S92)</f>
        <v>N/A</v>
      </c>
      <c r="AO92" s="2">
        <f>IF(OR(Calc_Helper!S92="Healthy",Calc_Helper!S92="On Track"),1,0)</f>
        <v>0</v>
      </c>
      <c r="AP92" s="2" t="str">
        <f>IFERROR(IF(Calc_Helper!T92="","",Calc_Helper!T92),"")</f>
        <v/>
      </c>
      <c r="AQ92" s="2">
        <f>IF(Calc_Helper!T92=TRUE(),1,0)</f>
        <v>0</v>
      </c>
    </row>
    <row r="93" spans="1:43" x14ac:dyDescent="0.3">
      <c r="A93" s="5" t="str">
        <f>IF(Clean_Data!A93="","Unknown",Clean_Data!A93)</f>
        <v>TSK-0092</v>
      </c>
      <c r="B93" s="5" t="str">
        <f>IF(Clean_Data!B93="","Unknown",Clean_Data!B93)</f>
        <v>Marketing Campaign</v>
      </c>
      <c r="C93" s="5" t="str">
        <f>IF(Clean_Data!C93="","Unknown",Clean_Data!C93)</f>
        <v>IT</v>
      </c>
      <c r="D93" s="5" t="str">
        <f>IF(Clean_Data!D93="","Unknown",Clean_Data!D93)</f>
        <v>Amit Verma</v>
      </c>
      <c r="E93" s="5" t="str">
        <f>IF(Clean_Data!E93="","Unknown",Clean_Data!E93)</f>
        <v>Analyst</v>
      </c>
      <c r="F93" s="5" t="str">
        <f>IF(Clean_Data!F93="","Unknown",Clean_Data!F93)</f>
        <v>High</v>
      </c>
      <c r="G93" s="5" t="str">
        <f>IF(Clean_Data!G93="","Unknown",Clean_Data!G93)</f>
        <v>Deployment</v>
      </c>
      <c r="H93" s="5" t="str">
        <f>IF(Clean_Data!K93="","Unknown",Clean_Data!K93)</f>
        <v>On Hold</v>
      </c>
      <c r="I93" s="13">
        <f>Clean_Data!H93</f>
        <v>45406</v>
      </c>
      <c r="J93" s="13">
        <f>Clean_Data!I93</f>
        <v>45435</v>
      </c>
      <c r="K93" s="13" t="str">
        <f>Clean_Data!J93</f>
        <v/>
      </c>
      <c r="L93" s="5" t="str">
        <f>IF(Calc_Helper!I93="","Unknown",Calc_Helper!I93)</f>
        <v>2024-05</v>
      </c>
      <c r="M93" s="5" t="str">
        <f>IF(Calc_Helper!J93="","Unknown",Calc_Helper!J93)</f>
        <v>2024-04</v>
      </c>
      <c r="N93" s="19" t="str">
        <f>IF(Calc_Helper!K93="","",Calc_Helper!K93)</f>
        <v/>
      </c>
      <c r="O93" s="5">
        <f>IFERROR(Calc_Helper!L93,"")</f>
        <v>2024</v>
      </c>
      <c r="P93" s="5">
        <f>IFERROR(Calc_Helper!M93,"")</f>
        <v>4</v>
      </c>
      <c r="Q93" s="5" t="str">
        <f>IF(Calc_Helper!N93="","Unknown",Calc_Helper!N93)</f>
        <v>April</v>
      </c>
      <c r="R93" s="17">
        <f>IFERROR(IF(ISNUMBER(Clean_Data!L93),Clean_Data!L93,0),0)</f>
        <v>0</v>
      </c>
      <c r="S93" s="18">
        <f>IFERROR(IF(ISNUMBER(Clean_Data!M93),Clean_Data!M93,0),0)</f>
        <v>16</v>
      </c>
      <c r="T93" s="16">
        <f>IF(Clean_Data!N93="","",IFERROR(IF(ISNUMBER(Clean_Data!N93),Clean_Data!N93,""),""))</f>
        <v>0</v>
      </c>
      <c r="U93" s="18">
        <f>IFERROR(IF(ISNUMBER(Clean_Data!O93),Clean_Data!O93,0),0)</f>
        <v>-16</v>
      </c>
      <c r="V93" s="5">
        <f ca="1">IFERROR(IF(ISNUMBER(Calc_Helper!E93),Calc_Helper!E93,0),0)</f>
        <v>720</v>
      </c>
      <c r="W93" s="5">
        <f ca="1">IFERROR(IF(ISNUMBER(Calc_Helper!F93),Calc_Helper!F93,0),0)</f>
        <v>691</v>
      </c>
      <c r="X93" s="5">
        <f>IFERROR(IF(ISNUMBER(Calc_Helper!G93),Calc_Helper!G93,0),0)</f>
        <v>0</v>
      </c>
      <c r="Y93" s="5">
        <f ca="1">IFERROR(IF(ISNUMBER(Calc_Helper!H93),Calc_Helper!H93,0),0)</f>
        <v>720</v>
      </c>
      <c r="Z93" s="20" t="b">
        <f>Calc_Helper!B93</f>
        <v>0</v>
      </c>
      <c r="AA93" s="5">
        <f>IF(Calc_Helper!B93=TRUE(),1,0)</f>
        <v>0</v>
      </c>
      <c r="AB93" s="20" t="b">
        <f>Calc_Helper!C93</f>
        <v>1</v>
      </c>
      <c r="AC93" s="5">
        <f>IF(Calc_Helper!C93=TRUE(),1,0)</f>
        <v>1</v>
      </c>
      <c r="AD93" s="20" t="b">
        <f ca="1">Calc_Helper!D93</f>
        <v>1</v>
      </c>
      <c r="AE93" s="5">
        <f ca="1">IF(Calc_Helper!D93=TRUE(),1,0)</f>
        <v>1</v>
      </c>
      <c r="AF93" s="20" t="b">
        <f ca="1">Calc_Helper!O93</f>
        <v>1</v>
      </c>
      <c r="AG93" s="5">
        <f ca="1">IF(Calc_Helper!O93=TRUE(),1,0)</f>
        <v>1</v>
      </c>
      <c r="AH93" s="20" t="b">
        <f>Calc_Helper!P93</f>
        <v>1</v>
      </c>
      <c r="AI93" s="5">
        <f>IF(Calc_Helper!P93=TRUE(),1,0)</f>
        <v>1</v>
      </c>
      <c r="AJ93" s="20" t="b">
        <f ca="1">Calc_Helper!Q93</f>
        <v>1</v>
      </c>
      <c r="AK93" s="5">
        <f ca="1">IF(Calc_Helper!Q93=TRUE(),1,0)</f>
        <v>1</v>
      </c>
      <c r="AL93" s="20" t="b">
        <f ca="1">Calc_Helper!R93</f>
        <v>0</v>
      </c>
      <c r="AM93" s="5">
        <f ca="1">IF(Calc_Helper!R93=TRUE(),1,0)</f>
        <v>0</v>
      </c>
      <c r="AN93" s="5" t="str">
        <f>IF(Calc_Helper!S93="","Unknown",Calc_Helper!S93)</f>
        <v>N/A</v>
      </c>
      <c r="AO93" s="5">
        <f>IF(OR(Calc_Helper!S93="Healthy",Calc_Helper!S93="On Track"),1,0)</f>
        <v>0</v>
      </c>
      <c r="AP93" s="5" t="str">
        <f>IFERROR(IF(Calc_Helper!T93="","",Calc_Helper!T93),"")</f>
        <v/>
      </c>
      <c r="AQ93" s="5">
        <f>IF(Calc_Helper!T93=TRUE(),1,0)</f>
        <v>0</v>
      </c>
    </row>
    <row r="94" spans="1:43" x14ac:dyDescent="0.3">
      <c r="A94" s="2" t="str">
        <f>IF(Clean_Data!A94="","Unknown",Clean_Data!A94)</f>
        <v>TSK-0093</v>
      </c>
      <c r="B94" s="2" t="str">
        <f>IF(Clean_Data!B94="","Unknown",Clean_Data!B94)</f>
        <v>Mobile App v2</v>
      </c>
      <c r="C94" s="2" t="str">
        <f>IF(Clean_Data!C94="","Unknown",Clean_Data!C94)</f>
        <v>IT</v>
      </c>
      <c r="D94" s="2" t="str">
        <f>IF(Clean_Data!D94="","Unknown",Clean_Data!D94)</f>
        <v>Karan Malhotra</v>
      </c>
      <c r="E94" s="2" t="str">
        <f>IF(Clean_Data!E94="","Unknown",Clean_Data!E94)</f>
        <v>Analyst</v>
      </c>
      <c r="F94" s="2" t="str">
        <f>IF(Clean_Data!F94="","Unknown",Clean_Data!F94)</f>
        <v>High</v>
      </c>
      <c r="G94" s="2" t="str">
        <f>IF(Clean_Data!G94="","Unknown",Clean_Data!G94)</f>
        <v>Design</v>
      </c>
      <c r="H94" s="2" t="str">
        <f>IF(Clean_Data!K94="","Unknown",Clean_Data!K94)</f>
        <v>Completed</v>
      </c>
      <c r="I94" s="10">
        <f>Clean_Data!H94</f>
        <v>45682</v>
      </c>
      <c r="J94" s="10">
        <f>Clean_Data!I94</f>
        <v>45726</v>
      </c>
      <c r="K94" s="10">
        <f>Clean_Data!J94</f>
        <v>45737</v>
      </c>
      <c r="L94" s="2" t="str">
        <f>IF(Calc_Helper!I94="","Unknown",Calc_Helper!I94)</f>
        <v>2025-03</v>
      </c>
      <c r="M94" s="2" t="str">
        <f>IF(Calc_Helper!J94="","Unknown",Calc_Helper!J94)</f>
        <v>2025-01</v>
      </c>
      <c r="N94" s="19" t="str">
        <f>IF(Calc_Helper!K94="","",Calc_Helper!K94)</f>
        <v>2025-03</v>
      </c>
      <c r="O94" s="2">
        <f>IFERROR(Calc_Helper!L94,"")</f>
        <v>2025</v>
      </c>
      <c r="P94" s="2">
        <f>IFERROR(Calc_Helper!M94,"")</f>
        <v>1</v>
      </c>
      <c r="Q94" s="2" t="str">
        <f>IF(Calc_Helper!N94="","Unknown",Calc_Helper!N94)</f>
        <v>January</v>
      </c>
      <c r="R94" s="15">
        <f>IFERROR(IF(ISNUMBER(Clean_Data!L94),Clean_Data!L94,0),0)</f>
        <v>1</v>
      </c>
      <c r="S94" s="16">
        <f>IFERROR(IF(ISNUMBER(Clean_Data!M94),Clean_Data!M94,0),0)</f>
        <v>24.7</v>
      </c>
      <c r="T94" s="16">
        <f>IF(Clean_Data!N94="","",IFERROR(IF(ISNUMBER(Clean_Data!N94),Clean_Data!N94,""),""))</f>
        <v>36.200000000000003</v>
      </c>
      <c r="U94" s="16">
        <f>IFERROR(IF(ISNUMBER(Clean_Data!O94),Clean_Data!O94,0),0)</f>
        <v>11.500000000000004</v>
      </c>
      <c r="V94" s="2">
        <f ca="1">IFERROR(IF(ISNUMBER(Calc_Helper!E94),Calc_Helper!E94,0),0)</f>
        <v>0</v>
      </c>
      <c r="W94" s="2">
        <f ca="1">IFERROR(IF(ISNUMBER(Calc_Helper!F94),Calc_Helper!F94,0),0)</f>
        <v>11</v>
      </c>
      <c r="X94" s="2">
        <f>IFERROR(IF(ISNUMBER(Calc_Helper!G94),Calc_Helper!G94,0),0)</f>
        <v>55</v>
      </c>
      <c r="Y94" s="2">
        <f ca="1">IFERROR(IF(ISNUMBER(Calc_Helper!H94),Calc_Helper!H94,0),0)</f>
        <v>55</v>
      </c>
      <c r="Z94" s="19" t="b">
        <f>Calc_Helper!B94</f>
        <v>1</v>
      </c>
      <c r="AA94" s="2">
        <f>IF(Calc_Helper!B94=TRUE(),1,0)</f>
        <v>1</v>
      </c>
      <c r="AB94" s="19" t="b">
        <f>Calc_Helper!C94</f>
        <v>0</v>
      </c>
      <c r="AC94" s="2">
        <f>IF(Calc_Helper!C94=TRUE(),1,0)</f>
        <v>0</v>
      </c>
      <c r="AD94" s="19" t="b">
        <f ca="1">Calc_Helper!D94</f>
        <v>0</v>
      </c>
      <c r="AE94" s="2">
        <f ca="1">IF(Calc_Helper!D94=TRUE(),1,0)</f>
        <v>0</v>
      </c>
      <c r="AF94" s="19" t="b">
        <f ca="1">Calc_Helper!O94</f>
        <v>0</v>
      </c>
      <c r="AG94" s="2">
        <f ca="1">IF(Calc_Helper!O94=TRUE(),1,0)</f>
        <v>0</v>
      </c>
      <c r="AH94" s="19" t="b">
        <f>Calc_Helper!P94</f>
        <v>0</v>
      </c>
      <c r="AI94" s="2">
        <f>IF(Calc_Helper!P94=TRUE(),1,0)</f>
        <v>0</v>
      </c>
      <c r="AJ94" s="19" t="b">
        <f ca="1">Calc_Helper!Q94</f>
        <v>0</v>
      </c>
      <c r="AK94" s="2">
        <f ca="1">IF(Calc_Helper!Q94=TRUE(),1,0)</f>
        <v>0</v>
      </c>
      <c r="AL94" s="19" t="b">
        <f ca="1">Calc_Helper!R94</f>
        <v>0</v>
      </c>
      <c r="AM94" s="2">
        <f ca="1">IF(Calc_Helper!R94=TRUE(),1,0)</f>
        <v>0</v>
      </c>
      <c r="AN94" s="2" t="str">
        <f>IF(Calc_Helper!S94="","Unknown",Calc_Helper!S94)</f>
        <v>Over Budget</v>
      </c>
      <c r="AO94" s="2">
        <f>IF(OR(Calc_Helper!S94="Healthy",Calc_Helper!S94="On Track"),1,0)</f>
        <v>0</v>
      </c>
      <c r="AP94" s="19" t="b">
        <f>IFERROR(IF(Calc_Helper!T94="","",Calc_Helper!T94),"")</f>
        <v>0</v>
      </c>
      <c r="AQ94" s="2">
        <f>IF(Calc_Helper!T94=TRUE(),1,0)</f>
        <v>0</v>
      </c>
    </row>
    <row r="95" spans="1:43" x14ac:dyDescent="0.3">
      <c r="A95" s="5" t="str">
        <f>IF(Clean_Data!A95="","Unknown",Clean_Data!A95)</f>
        <v>TSK-0094</v>
      </c>
      <c r="B95" s="5" t="str">
        <f>IF(Clean_Data!B95="","Unknown",Clean_Data!B95)</f>
        <v>Marketing Campaign</v>
      </c>
      <c r="C95" s="5" t="str">
        <f>IF(Clean_Data!C95="","Unknown",Clean_Data!C95)</f>
        <v>HR</v>
      </c>
      <c r="D95" s="5" t="str">
        <f>IF(Clean_Data!D95="","Unknown",Clean_Data!D95)</f>
        <v>Sneha Gupta</v>
      </c>
      <c r="E95" s="5" t="str">
        <f>IF(Clean_Data!E95="","Unknown",Clean_Data!E95)</f>
        <v>Lead</v>
      </c>
      <c r="F95" s="5" t="str">
        <f>IF(Clean_Data!F95="","Unknown",Clean_Data!F95)</f>
        <v>High</v>
      </c>
      <c r="G95" s="5" t="str">
        <f>IF(Clean_Data!G95="","Unknown",Clean_Data!G95)</f>
        <v>Review</v>
      </c>
      <c r="H95" s="5" t="str">
        <f>IF(Clean_Data!K95="","Unknown",Clean_Data!K95)</f>
        <v>Not Started</v>
      </c>
      <c r="I95" s="13">
        <f>Clean_Data!H95</f>
        <v>45516</v>
      </c>
      <c r="J95" s="13">
        <f>Clean_Data!I95</f>
        <v>45528</v>
      </c>
      <c r="K95" s="13" t="str">
        <f>Clean_Data!J95</f>
        <v/>
      </c>
      <c r="L95" s="5" t="str">
        <f>IF(Calc_Helper!I95="","Unknown",Calc_Helper!I95)</f>
        <v>2024-08</v>
      </c>
      <c r="M95" s="5" t="str">
        <f>IF(Calc_Helper!J95="","Unknown",Calc_Helper!J95)</f>
        <v>2024-08</v>
      </c>
      <c r="N95" s="19" t="str">
        <f>IF(Calc_Helper!K95="","",Calc_Helper!K95)</f>
        <v/>
      </c>
      <c r="O95" s="5">
        <f>IFERROR(Calc_Helper!L95,"")</f>
        <v>2024</v>
      </c>
      <c r="P95" s="5">
        <f>IFERROR(Calc_Helper!M95,"")</f>
        <v>8</v>
      </c>
      <c r="Q95" s="5" t="str">
        <f>IF(Calc_Helper!N95="","Unknown",Calc_Helper!N95)</f>
        <v>August</v>
      </c>
      <c r="R95" s="17">
        <f>IFERROR(IF(ISNUMBER(Clean_Data!L95),Clean_Data!L95,0),0)</f>
        <v>0</v>
      </c>
      <c r="S95" s="18">
        <f>IFERROR(IF(ISNUMBER(Clean_Data!M95),Clean_Data!M95,0),0)</f>
        <v>41</v>
      </c>
      <c r="T95" s="16" t="str">
        <f>IF(Clean_Data!N95="","",IFERROR(IF(ISNUMBER(Clean_Data!N95),Clean_Data!N95,""),""))</f>
        <v/>
      </c>
      <c r="U95" s="18">
        <f>IFERROR(IF(ISNUMBER(Clean_Data!O95),Clean_Data!O95,0),0)</f>
        <v>0</v>
      </c>
      <c r="V95" s="5">
        <f ca="1">IFERROR(IF(ISNUMBER(Calc_Helper!E95),Calc_Helper!E95,0),0)</f>
        <v>610</v>
      </c>
      <c r="W95" s="5">
        <f ca="1">IFERROR(IF(ISNUMBER(Calc_Helper!F95),Calc_Helper!F95,0),0)</f>
        <v>598</v>
      </c>
      <c r="X95" s="5">
        <f>IFERROR(IF(ISNUMBER(Calc_Helper!G95),Calc_Helper!G95,0),0)</f>
        <v>0</v>
      </c>
      <c r="Y95" s="5">
        <f ca="1">IFERROR(IF(ISNUMBER(Calc_Helper!H95),Calc_Helper!H95,0),0)</f>
        <v>610</v>
      </c>
      <c r="Z95" s="20" t="b">
        <f>Calc_Helper!B95</f>
        <v>0</v>
      </c>
      <c r="AA95" s="5">
        <f>IF(Calc_Helper!B95=TRUE(),1,0)</f>
        <v>0</v>
      </c>
      <c r="AB95" s="20" t="b">
        <f>Calc_Helper!C95</f>
        <v>1</v>
      </c>
      <c r="AC95" s="5">
        <f>IF(Calc_Helper!C95=TRUE(),1,0)</f>
        <v>1</v>
      </c>
      <c r="AD95" s="20" t="b">
        <f ca="1">Calc_Helper!D95</f>
        <v>1</v>
      </c>
      <c r="AE95" s="5">
        <f ca="1">IF(Calc_Helper!D95=TRUE(),1,0)</f>
        <v>1</v>
      </c>
      <c r="AF95" s="20" t="b">
        <f ca="1">Calc_Helper!O95</f>
        <v>1</v>
      </c>
      <c r="AG95" s="5">
        <f ca="1">IF(Calc_Helper!O95=TRUE(),1,0)</f>
        <v>1</v>
      </c>
      <c r="AH95" s="20" t="b">
        <f>Calc_Helper!P95</f>
        <v>1</v>
      </c>
      <c r="AI95" s="5">
        <f>IF(Calc_Helper!P95=TRUE(),1,0)</f>
        <v>1</v>
      </c>
      <c r="AJ95" s="20" t="b">
        <f ca="1">Calc_Helper!Q95</f>
        <v>1</v>
      </c>
      <c r="AK95" s="5">
        <f ca="1">IF(Calc_Helper!Q95=TRUE(),1,0)</f>
        <v>1</v>
      </c>
      <c r="AL95" s="20" t="b">
        <f ca="1">Calc_Helper!R95</f>
        <v>0</v>
      </c>
      <c r="AM95" s="5">
        <f ca="1">IF(Calc_Helper!R95=TRUE(),1,0)</f>
        <v>0</v>
      </c>
      <c r="AN95" s="5" t="str">
        <f>IF(Calc_Helper!S95="","Unknown",Calc_Helper!S95)</f>
        <v>N/A</v>
      </c>
      <c r="AO95" s="5">
        <f>IF(OR(Calc_Helper!S95="Healthy",Calc_Helper!S95="On Track"),1,0)</f>
        <v>0</v>
      </c>
      <c r="AP95" s="5" t="str">
        <f>IFERROR(IF(Calc_Helper!T95="","",Calc_Helper!T95),"")</f>
        <v/>
      </c>
      <c r="AQ95" s="5">
        <f>IF(Calc_Helper!T95=TRUE(),1,0)</f>
        <v>0</v>
      </c>
    </row>
    <row r="96" spans="1:43" x14ac:dyDescent="0.3">
      <c r="A96" s="2" t="str">
        <f>IF(Clean_Data!A96="","Unknown",Clean_Data!A96)</f>
        <v>TSK-0095</v>
      </c>
      <c r="B96" s="2" t="str">
        <f>IF(Clean_Data!B96="","Unknown",Clean_Data!B96)</f>
        <v>Product Launch</v>
      </c>
      <c r="C96" s="2" t="str">
        <f>IF(Clean_Data!C96="","Unknown",Clean_Data!C96)</f>
        <v>Operations</v>
      </c>
      <c r="D96" s="2" t="str">
        <f>IF(Clean_Data!D96="","Unknown",Clean_Data!D96)</f>
        <v>Ananya Das</v>
      </c>
      <c r="E96" s="2" t="str">
        <f>IF(Clean_Data!E96="","Unknown",Clean_Data!E96)</f>
        <v>Analyst</v>
      </c>
      <c r="F96" s="2" t="str">
        <f>IF(Clean_Data!F96="","Unknown",Clean_Data!F96)</f>
        <v>High</v>
      </c>
      <c r="G96" s="2" t="str">
        <f>IF(Clean_Data!G96="","Unknown",Clean_Data!G96)</f>
        <v>Design</v>
      </c>
      <c r="H96" s="2" t="str">
        <f>IF(Clean_Data!K96="","Unknown",Clean_Data!K96)</f>
        <v>In Progress</v>
      </c>
      <c r="I96" s="10">
        <f>Clean_Data!H96</f>
        <v>45450</v>
      </c>
      <c r="J96" s="10">
        <f>Clean_Data!I96</f>
        <v>45468</v>
      </c>
      <c r="K96" s="10" t="str">
        <f>Clean_Data!J96</f>
        <v/>
      </c>
      <c r="L96" s="2" t="str">
        <f>IF(Calc_Helper!I96="","Unknown",Calc_Helper!I96)</f>
        <v>2024-06</v>
      </c>
      <c r="M96" s="2" t="str">
        <f>IF(Calc_Helper!J96="","Unknown",Calc_Helper!J96)</f>
        <v>2024-06</v>
      </c>
      <c r="N96" s="19" t="str">
        <f>IF(Calc_Helper!K96="","",Calc_Helper!K96)</f>
        <v/>
      </c>
      <c r="O96" s="2">
        <f>IFERROR(Calc_Helper!L96,"")</f>
        <v>2024</v>
      </c>
      <c r="P96" s="2">
        <f>IFERROR(Calc_Helper!M96,"")</f>
        <v>6</v>
      </c>
      <c r="Q96" s="2" t="str">
        <f>IF(Calc_Helper!N96="","Unknown",Calc_Helper!N96)</f>
        <v>June</v>
      </c>
      <c r="R96" s="15">
        <f>IFERROR(IF(ISNUMBER(Clean_Data!L96),Clean_Data!L96,0),0)</f>
        <v>0.42</v>
      </c>
      <c r="S96" s="16">
        <f>IFERROR(IF(ISNUMBER(Clean_Data!M96),Clean_Data!M96,0),0)</f>
        <v>4.5999999999999996</v>
      </c>
      <c r="T96" s="16">
        <f>IF(Clean_Data!N96="","",IFERROR(IF(ISNUMBER(Clean_Data!N96),Clean_Data!N96,""),""))</f>
        <v>2.4</v>
      </c>
      <c r="U96" s="16">
        <f>IFERROR(IF(ISNUMBER(Clean_Data!O96),Clean_Data!O96,0),0)</f>
        <v>-2.1999999999999997</v>
      </c>
      <c r="V96" s="2">
        <f ca="1">IFERROR(IF(ISNUMBER(Calc_Helper!E96),Calc_Helper!E96,0),0)</f>
        <v>676</v>
      </c>
      <c r="W96" s="2">
        <f ca="1">IFERROR(IF(ISNUMBER(Calc_Helper!F96),Calc_Helper!F96,0),0)</f>
        <v>658</v>
      </c>
      <c r="X96" s="2">
        <f>IFERROR(IF(ISNUMBER(Calc_Helper!G96),Calc_Helper!G96,0),0)</f>
        <v>0</v>
      </c>
      <c r="Y96" s="2">
        <f ca="1">IFERROR(IF(ISNUMBER(Calc_Helper!H96),Calc_Helper!H96,0),0)</f>
        <v>676</v>
      </c>
      <c r="Z96" s="19" t="b">
        <f>Calc_Helper!B96</f>
        <v>0</v>
      </c>
      <c r="AA96" s="2">
        <f>IF(Calc_Helper!B96=TRUE(),1,0)</f>
        <v>0</v>
      </c>
      <c r="AB96" s="19" t="b">
        <f>Calc_Helper!C96</f>
        <v>1</v>
      </c>
      <c r="AC96" s="2">
        <f>IF(Calc_Helper!C96=TRUE(),1,0)</f>
        <v>1</v>
      </c>
      <c r="AD96" s="19" t="b">
        <f ca="1">Calc_Helper!D96</f>
        <v>1</v>
      </c>
      <c r="AE96" s="2">
        <f ca="1">IF(Calc_Helper!D96=TRUE(),1,0)</f>
        <v>1</v>
      </c>
      <c r="AF96" s="19" t="b">
        <f ca="1">Calc_Helper!O96</f>
        <v>1</v>
      </c>
      <c r="AG96" s="2">
        <f ca="1">IF(Calc_Helper!O96=TRUE(),1,0)</f>
        <v>1</v>
      </c>
      <c r="AH96" s="19" t="b">
        <f>Calc_Helper!P96</f>
        <v>1</v>
      </c>
      <c r="AI96" s="2">
        <f>IF(Calc_Helper!P96=TRUE(),1,0)</f>
        <v>1</v>
      </c>
      <c r="AJ96" s="19" t="b">
        <f ca="1">Calc_Helper!Q96</f>
        <v>1</v>
      </c>
      <c r="AK96" s="2">
        <f ca="1">IF(Calc_Helper!Q96=TRUE(),1,0)</f>
        <v>1</v>
      </c>
      <c r="AL96" s="19" t="b">
        <f ca="1">Calc_Helper!R96</f>
        <v>1</v>
      </c>
      <c r="AM96" s="2">
        <f ca="1">IF(Calc_Helper!R96=TRUE(),1,0)</f>
        <v>1</v>
      </c>
      <c r="AN96" s="2" t="str">
        <f>IF(Calc_Helper!S96="","Unknown",Calc_Helper!S96)</f>
        <v>Slow</v>
      </c>
      <c r="AO96" s="2">
        <f>IF(OR(Calc_Helper!S96="Healthy",Calc_Helper!S96="On Track"),1,0)</f>
        <v>0</v>
      </c>
      <c r="AP96" s="2" t="str">
        <f>IFERROR(IF(Calc_Helper!T96="","",Calc_Helper!T96),"")</f>
        <v/>
      </c>
      <c r="AQ96" s="2">
        <f>IF(Calc_Helper!T96=TRUE(),1,0)</f>
        <v>0</v>
      </c>
    </row>
    <row r="97" spans="1:43" x14ac:dyDescent="0.3">
      <c r="A97" s="5" t="str">
        <f>IF(Clean_Data!A97="","Unknown",Clean_Data!A97)</f>
        <v>TSK-0096</v>
      </c>
      <c r="B97" s="5" t="str">
        <f>IF(Clean_Data!B97="","Unknown",Clean_Data!B97)</f>
        <v>Product Launch</v>
      </c>
      <c r="C97" s="5" t="str">
        <f>IF(Clean_Data!C97="","Unknown",Clean_Data!C97)</f>
        <v>Sales</v>
      </c>
      <c r="D97" s="5" t="str">
        <f>IF(Clean_Data!D97="","Unknown",Clean_Data!D97)</f>
        <v>Deepak Nair</v>
      </c>
      <c r="E97" s="5" t="str">
        <f>IF(Clean_Data!E97="","Unknown",Clean_Data!E97)</f>
        <v>Tester</v>
      </c>
      <c r="F97" s="5" t="str">
        <f>IF(Clean_Data!F97="","Unknown",Clean_Data!F97)</f>
        <v>High</v>
      </c>
      <c r="G97" s="5" t="str">
        <f>IF(Clean_Data!G97="","Unknown",Clean_Data!G97)</f>
        <v>Review</v>
      </c>
      <c r="H97" s="5" t="str">
        <f>IF(Clean_Data!K97="","Unknown",Clean_Data!K97)</f>
        <v>On Hold</v>
      </c>
      <c r="I97" s="13">
        <f>Clean_Data!H97</f>
        <v>45675</v>
      </c>
      <c r="J97" s="13">
        <f>Clean_Data!I97</f>
        <v>45682</v>
      </c>
      <c r="K97" s="13" t="str">
        <f>Clean_Data!J97</f>
        <v/>
      </c>
      <c r="L97" s="5" t="str">
        <f>IF(Calc_Helper!I97="","Unknown",Calc_Helper!I97)</f>
        <v>2025-01</v>
      </c>
      <c r="M97" s="5" t="str">
        <f>IF(Calc_Helper!J97="","Unknown",Calc_Helper!J97)</f>
        <v>2025-01</v>
      </c>
      <c r="N97" s="19" t="str">
        <f>IF(Calc_Helper!K97="","",Calc_Helper!K97)</f>
        <v/>
      </c>
      <c r="O97" s="5">
        <f>IFERROR(Calc_Helper!L97,"")</f>
        <v>2025</v>
      </c>
      <c r="P97" s="5">
        <f>IFERROR(Calc_Helper!M97,"")</f>
        <v>1</v>
      </c>
      <c r="Q97" s="5" t="str">
        <f>IF(Calc_Helper!N97="","Unknown",Calc_Helper!N97)</f>
        <v>January</v>
      </c>
      <c r="R97" s="17">
        <f>IFERROR(IF(ISNUMBER(Clean_Data!L97),Clean_Data!L97,0),0)</f>
        <v>0</v>
      </c>
      <c r="S97" s="18">
        <f>IFERROR(IF(ISNUMBER(Clean_Data!M97),Clean_Data!M97,0),0)</f>
        <v>74</v>
      </c>
      <c r="T97" s="16">
        <f>IF(Clean_Data!N97="","",IFERROR(IF(ISNUMBER(Clean_Data!N97),Clean_Data!N97,""),""))</f>
        <v>0</v>
      </c>
      <c r="U97" s="18">
        <f>IFERROR(IF(ISNUMBER(Clean_Data!O97),Clean_Data!O97,0),0)</f>
        <v>-74</v>
      </c>
      <c r="V97" s="5">
        <f ca="1">IFERROR(IF(ISNUMBER(Calc_Helper!E97),Calc_Helper!E97,0),0)</f>
        <v>451</v>
      </c>
      <c r="W97" s="5">
        <f ca="1">IFERROR(IF(ISNUMBER(Calc_Helper!F97),Calc_Helper!F97,0),0)</f>
        <v>444</v>
      </c>
      <c r="X97" s="5">
        <f>IFERROR(IF(ISNUMBER(Calc_Helper!G97),Calc_Helper!G97,0),0)</f>
        <v>0</v>
      </c>
      <c r="Y97" s="5">
        <f ca="1">IFERROR(IF(ISNUMBER(Calc_Helper!H97),Calc_Helper!H97,0),0)</f>
        <v>451</v>
      </c>
      <c r="Z97" s="20" t="b">
        <f>Calc_Helper!B97</f>
        <v>0</v>
      </c>
      <c r="AA97" s="5">
        <f>IF(Calc_Helper!B97=TRUE(),1,0)</f>
        <v>0</v>
      </c>
      <c r="AB97" s="20" t="b">
        <f>Calc_Helper!C97</f>
        <v>1</v>
      </c>
      <c r="AC97" s="5">
        <f>IF(Calc_Helper!C97=TRUE(),1,0)</f>
        <v>1</v>
      </c>
      <c r="AD97" s="20" t="b">
        <f ca="1">Calc_Helper!D97</f>
        <v>1</v>
      </c>
      <c r="AE97" s="5">
        <f ca="1">IF(Calc_Helper!D97=TRUE(),1,0)</f>
        <v>1</v>
      </c>
      <c r="AF97" s="20" t="b">
        <f ca="1">Calc_Helper!O97</f>
        <v>1</v>
      </c>
      <c r="AG97" s="5">
        <f ca="1">IF(Calc_Helper!O97=TRUE(),1,0)</f>
        <v>1</v>
      </c>
      <c r="AH97" s="20" t="b">
        <f>Calc_Helper!P97</f>
        <v>1</v>
      </c>
      <c r="AI97" s="5">
        <f>IF(Calc_Helper!P97=TRUE(),1,0)</f>
        <v>1</v>
      </c>
      <c r="AJ97" s="20" t="b">
        <f ca="1">Calc_Helper!Q97</f>
        <v>1</v>
      </c>
      <c r="AK97" s="5">
        <f ca="1">IF(Calc_Helper!Q97=TRUE(),1,0)</f>
        <v>1</v>
      </c>
      <c r="AL97" s="20" t="b">
        <f ca="1">Calc_Helper!R97</f>
        <v>0</v>
      </c>
      <c r="AM97" s="5">
        <f ca="1">IF(Calc_Helper!R97=TRUE(),1,0)</f>
        <v>0</v>
      </c>
      <c r="AN97" s="5" t="str">
        <f>IF(Calc_Helper!S97="","Unknown",Calc_Helper!S97)</f>
        <v>N/A</v>
      </c>
      <c r="AO97" s="5">
        <f>IF(OR(Calc_Helper!S97="Healthy",Calc_Helper!S97="On Track"),1,0)</f>
        <v>0</v>
      </c>
      <c r="AP97" s="5" t="str">
        <f>IFERROR(IF(Calc_Helper!T97="","",Calc_Helper!T97),"")</f>
        <v/>
      </c>
      <c r="AQ97" s="5">
        <f>IF(Calc_Helper!T97=TRUE(),1,0)</f>
        <v>0</v>
      </c>
    </row>
    <row r="98" spans="1:43" x14ac:dyDescent="0.3">
      <c r="A98" s="2" t="str">
        <f>IF(Clean_Data!A98="","Unknown",Clean_Data!A98)</f>
        <v>TSK-0097</v>
      </c>
      <c r="B98" s="2" t="str">
        <f>IF(Clean_Data!B98="","Unknown",Clean_Data!B98)</f>
        <v>Mobile App v2</v>
      </c>
      <c r="C98" s="2" t="str">
        <f>IF(Clean_Data!C98="","Unknown",Clean_Data!C98)</f>
        <v>Operations</v>
      </c>
      <c r="D98" s="2" t="str">
        <f>IF(Clean_Data!D98="","Unknown",Clean_Data!D98)</f>
        <v>Pooja Reddy</v>
      </c>
      <c r="E98" s="2" t="str">
        <f>IF(Clean_Data!E98="","Unknown",Clean_Data!E98)</f>
        <v>Coordinator</v>
      </c>
      <c r="F98" s="2" t="str">
        <f>IF(Clean_Data!F98="","Unknown",Clean_Data!F98)</f>
        <v>Medium</v>
      </c>
      <c r="G98" s="2" t="str">
        <f>IF(Clean_Data!G98="","Unknown",Clean_Data!G98)</f>
        <v>Testing</v>
      </c>
      <c r="H98" s="2" t="str">
        <f>IF(Clean_Data!K98="","Unknown",Clean_Data!K98)</f>
        <v>Not Started</v>
      </c>
      <c r="I98" s="10">
        <f>Clean_Data!H98</f>
        <v>45503</v>
      </c>
      <c r="J98" s="10">
        <f>Clean_Data!I98</f>
        <v>45509</v>
      </c>
      <c r="K98" s="10" t="str">
        <f>Clean_Data!J98</f>
        <v/>
      </c>
      <c r="L98" s="2" t="str">
        <f>IF(Calc_Helper!I98="","Unknown",Calc_Helper!I98)</f>
        <v>2024-08</v>
      </c>
      <c r="M98" s="2" t="str">
        <f>IF(Calc_Helper!J98="","Unknown",Calc_Helper!J98)</f>
        <v>2024-07</v>
      </c>
      <c r="N98" s="19" t="str">
        <f>IF(Calc_Helper!K98="","",Calc_Helper!K98)</f>
        <v/>
      </c>
      <c r="O98" s="2">
        <f>IFERROR(Calc_Helper!L98,"")</f>
        <v>2024</v>
      </c>
      <c r="P98" s="2">
        <f>IFERROR(Calc_Helper!M98,"")</f>
        <v>7</v>
      </c>
      <c r="Q98" s="2" t="str">
        <f>IF(Calc_Helper!N98="","Unknown",Calc_Helper!N98)</f>
        <v>July</v>
      </c>
      <c r="R98" s="15">
        <f>IFERROR(IF(ISNUMBER(Clean_Data!L98),Clean_Data!L98,0),0)</f>
        <v>0</v>
      </c>
      <c r="S98" s="16">
        <f>IFERROR(IF(ISNUMBER(Clean_Data!M98),Clean_Data!M98,0),0)</f>
        <v>64.900000000000006</v>
      </c>
      <c r="T98" s="16" t="str">
        <f>IF(Clean_Data!N98="","",IFERROR(IF(ISNUMBER(Clean_Data!N98),Clean_Data!N98,""),""))</f>
        <v/>
      </c>
      <c r="U98" s="16">
        <f>IFERROR(IF(ISNUMBER(Clean_Data!O98),Clean_Data!O98,0),0)</f>
        <v>0</v>
      </c>
      <c r="V98" s="2">
        <f ca="1">IFERROR(IF(ISNUMBER(Calc_Helper!E98),Calc_Helper!E98,0),0)</f>
        <v>623</v>
      </c>
      <c r="W98" s="2">
        <f ca="1">IFERROR(IF(ISNUMBER(Calc_Helper!F98),Calc_Helper!F98,0),0)</f>
        <v>617</v>
      </c>
      <c r="X98" s="2">
        <f>IFERROR(IF(ISNUMBER(Calc_Helper!G98),Calc_Helper!G98,0),0)</f>
        <v>0</v>
      </c>
      <c r="Y98" s="2">
        <f ca="1">IFERROR(IF(ISNUMBER(Calc_Helper!H98),Calc_Helper!H98,0),0)</f>
        <v>623</v>
      </c>
      <c r="Z98" s="19" t="b">
        <f>Calc_Helper!B98</f>
        <v>0</v>
      </c>
      <c r="AA98" s="2">
        <f>IF(Calc_Helper!B98=TRUE(),1,0)</f>
        <v>0</v>
      </c>
      <c r="AB98" s="19" t="b">
        <f>Calc_Helper!C98</f>
        <v>1</v>
      </c>
      <c r="AC98" s="2">
        <f>IF(Calc_Helper!C98=TRUE(),1,0)</f>
        <v>1</v>
      </c>
      <c r="AD98" s="19" t="b">
        <f ca="1">Calc_Helper!D98</f>
        <v>1</v>
      </c>
      <c r="AE98" s="2">
        <f ca="1">IF(Calc_Helper!D98=TRUE(),1,0)</f>
        <v>1</v>
      </c>
      <c r="AF98" s="19" t="b">
        <f ca="1">Calc_Helper!O98</f>
        <v>1</v>
      </c>
      <c r="AG98" s="2">
        <f ca="1">IF(Calc_Helper!O98=TRUE(),1,0)</f>
        <v>1</v>
      </c>
      <c r="AH98" s="19" t="b">
        <f>Calc_Helper!P98</f>
        <v>0</v>
      </c>
      <c r="AI98" s="2">
        <f>IF(Calc_Helper!P98=TRUE(),1,0)</f>
        <v>0</v>
      </c>
      <c r="AJ98" s="19" t="b">
        <f ca="1">Calc_Helper!Q98</f>
        <v>0</v>
      </c>
      <c r="AK98" s="2">
        <f ca="1">IF(Calc_Helper!Q98=TRUE(),1,0)</f>
        <v>0</v>
      </c>
      <c r="AL98" s="19" t="b">
        <f ca="1">Calc_Helper!R98</f>
        <v>0</v>
      </c>
      <c r="AM98" s="2">
        <f ca="1">IF(Calc_Helper!R98=TRUE(),1,0)</f>
        <v>0</v>
      </c>
      <c r="AN98" s="2" t="str">
        <f>IF(Calc_Helper!S98="","Unknown",Calc_Helper!S98)</f>
        <v>N/A</v>
      </c>
      <c r="AO98" s="2">
        <f>IF(OR(Calc_Helper!S98="Healthy",Calc_Helper!S98="On Track"),1,0)</f>
        <v>0</v>
      </c>
      <c r="AP98" s="2" t="str">
        <f>IFERROR(IF(Calc_Helper!T98="","",Calc_Helper!T98),"")</f>
        <v/>
      </c>
      <c r="AQ98" s="2">
        <f>IF(Calc_Helper!T98=TRUE(),1,0)</f>
        <v>0</v>
      </c>
    </row>
    <row r="99" spans="1:43" x14ac:dyDescent="0.3">
      <c r="A99" s="5" t="str">
        <f>IF(Clean_Data!A99="","Unknown",Clean_Data!A99)</f>
        <v>TSK-0098</v>
      </c>
      <c r="B99" s="5" t="str">
        <f>IF(Clean_Data!B99="","Unknown",Clean_Data!B99)</f>
        <v>CRM Migration</v>
      </c>
      <c r="C99" s="5" t="str">
        <f>IF(Clean_Data!C99="","Unknown",Clean_Data!C99)</f>
        <v>Operations</v>
      </c>
      <c r="D99" s="5" t="str">
        <f>IF(Clean_Data!D99="","Unknown",Clean_Data!D99)</f>
        <v>Meera Thakur</v>
      </c>
      <c r="E99" s="5" t="str">
        <f>IF(Clean_Data!E99="","Unknown",Clean_Data!E99)</f>
        <v>Developer</v>
      </c>
      <c r="F99" s="5" t="str">
        <f>IF(Clean_Data!F99="","Unknown",Clean_Data!F99)</f>
        <v>High</v>
      </c>
      <c r="G99" s="5" t="str">
        <f>IF(Clean_Data!G99="","Unknown",Clean_Data!G99)</f>
        <v>Documentation</v>
      </c>
      <c r="H99" s="5" t="str">
        <f>IF(Clean_Data!K99="","Unknown",Clean_Data!K99)</f>
        <v>Cancelled</v>
      </c>
      <c r="I99" s="13">
        <f>Clean_Data!H99</f>
        <v>45597</v>
      </c>
      <c r="J99" s="13">
        <f>Clean_Data!I99</f>
        <v>45627</v>
      </c>
      <c r="K99" s="13" t="str">
        <f>Clean_Data!J99</f>
        <v/>
      </c>
      <c r="L99" s="5" t="str">
        <f>IF(Calc_Helper!I99="","Unknown",Calc_Helper!I99)</f>
        <v>2024-12</v>
      </c>
      <c r="M99" s="5" t="str">
        <f>IF(Calc_Helper!J99="","Unknown",Calc_Helper!J99)</f>
        <v>2024-11</v>
      </c>
      <c r="N99" s="19" t="str">
        <f>IF(Calc_Helper!K99="","",Calc_Helper!K99)</f>
        <v/>
      </c>
      <c r="O99" s="5">
        <f>IFERROR(Calc_Helper!L99,"")</f>
        <v>2024</v>
      </c>
      <c r="P99" s="5">
        <f>IFERROR(Calc_Helper!M99,"")</f>
        <v>11</v>
      </c>
      <c r="Q99" s="5" t="str">
        <f>IF(Calc_Helper!N99="","Unknown",Calc_Helper!N99)</f>
        <v>November</v>
      </c>
      <c r="R99" s="17">
        <f>IFERROR(IF(ISNUMBER(Clean_Data!L99),Clean_Data!L99,0),0)</f>
        <v>0</v>
      </c>
      <c r="S99" s="18">
        <f>IFERROR(IF(ISNUMBER(Clean_Data!M99),Clean_Data!M99,0),0)</f>
        <v>34.1</v>
      </c>
      <c r="T99" s="16">
        <f>IF(Clean_Data!N99="","",IFERROR(IF(ISNUMBER(Clean_Data!N99),Clean_Data!N99,""),""))</f>
        <v>0</v>
      </c>
      <c r="U99" s="18">
        <f>IFERROR(IF(ISNUMBER(Clean_Data!O99),Clean_Data!O99,0),0)</f>
        <v>-34.1</v>
      </c>
      <c r="V99" s="5">
        <f ca="1">IFERROR(IF(ISNUMBER(Calc_Helper!E99),Calc_Helper!E99,0),0)</f>
        <v>0</v>
      </c>
      <c r="W99" s="5">
        <f ca="1">IFERROR(IF(ISNUMBER(Calc_Helper!F99),Calc_Helper!F99,0),0)</f>
        <v>0</v>
      </c>
      <c r="X99" s="5">
        <f>IFERROR(IF(ISNUMBER(Calc_Helper!G99),Calc_Helper!G99,0),0)</f>
        <v>0</v>
      </c>
      <c r="Y99" s="5">
        <f ca="1">IFERROR(IF(ISNUMBER(Calc_Helper!H99),Calc_Helper!H99,0),0)</f>
        <v>529</v>
      </c>
      <c r="Z99" s="20" t="b">
        <f>Calc_Helper!B99</f>
        <v>0</v>
      </c>
      <c r="AA99" s="5">
        <f>IF(Calc_Helper!B99=TRUE(),1,0)</f>
        <v>0</v>
      </c>
      <c r="AB99" s="20" t="b">
        <f>Calc_Helper!C99</f>
        <v>0</v>
      </c>
      <c r="AC99" s="5">
        <f>IF(Calc_Helper!C99=TRUE(),1,0)</f>
        <v>0</v>
      </c>
      <c r="AD99" s="20" t="b">
        <f ca="1">Calc_Helper!D99</f>
        <v>0</v>
      </c>
      <c r="AE99" s="5">
        <f ca="1">IF(Calc_Helper!D99=TRUE(),1,0)</f>
        <v>0</v>
      </c>
      <c r="AF99" s="20" t="b">
        <f ca="1">Calc_Helper!O99</f>
        <v>0</v>
      </c>
      <c r="AG99" s="5">
        <f ca="1">IF(Calc_Helper!O99=TRUE(),1,0)</f>
        <v>0</v>
      </c>
      <c r="AH99" s="20" t="b">
        <f>Calc_Helper!P99</f>
        <v>0</v>
      </c>
      <c r="AI99" s="5">
        <f>IF(Calc_Helper!P99=TRUE(),1,0)</f>
        <v>0</v>
      </c>
      <c r="AJ99" s="20" t="b">
        <f ca="1">Calc_Helper!Q99</f>
        <v>0</v>
      </c>
      <c r="AK99" s="5">
        <f ca="1">IF(Calc_Helper!Q99=TRUE(),1,0)</f>
        <v>0</v>
      </c>
      <c r="AL99" s="20" t="b">
        <f ca="1">Calc_Helper!R99</f>
        <v>0</v>
      </c>
      <c r="AM99" s="5">
        <f ca="1">IF(Calc_Helper!R99=TRUE(),1,0)</f>
        <v>0</v>
      </c>
      <c r="AN99" s="5" t="str">
        <f>IF(Calc_Helper!S99="","Unknown",Calc_Helper!S99)</f>
        <v>N/A</v>
      </c>
      <c r="AO99" s="5">
        <f>IF(OR(Calc_Helper!S99="Healthy",Calc_Helper!S99="On Track"),1,0)</f>
        <v>0</v>
      </c>
      <c r="AP99" s="5" t="str">
        <f>IFERROR(IF(Calc_Helper!T99="","",Calc_Helper!T99),"")</f>
        <v/>
      </c>
      <c r="AQ99" s="5">
        <f>IF(Calc_Helper!T99=TRUE(),1,0)</f>
        <v>0</v>
      </c>
    </row>
    <row r="100" spans="1:43" x14ac:dyDescent="0.3">
      <c r="A100" s="2" t="str">
        <f>IF(Clean_Data!A100="","Unknown",Clean_Data!A100)</f>
        <v>TSK-0099</v>
      </c>
      <c r="B100" s="2" t="str">
        <f>IF(Clean_Data!B100="","Unknown",Clean_Data!B100)</f>
        <v>Product Launch</v>
      </c>
      <c r="C100" s="2" t="str">
        <f>IF(Clean_Data!C100="","Unknown",Clean_Data!C100)</f>
        <v>HR</v>
      </c>
      <c r="D100" s="2" t="str">
        <f>IF(Clean_Data!D100="","Unknown",Clean_Data!D100)</f>
        <v>Sanjay Kulkarni</v>
      </c>
      <c r="E100" s="2" t="str">
        <f>IF(Clean_Data!E100="","Unknown",Clean_Data!E100)</f>
        <v>Developer</v>
      </c>
      <c r="F100" s="2" t="str">
        <f>IF(Clean_Data!F100="","Unknown",Clean_Data!F100)</f>
        <v>High</v>
      </c>
      <c r="G100" s="2" t="str">
        <f>IF(Clean_Data!G100="","Unknown",Clean_Data!G100)</f>
        <v>Deployment</v>
      </c>
      <c r="H100" s="2" t="str">
        <f>IF(Clean_Data!K100="","Unknown",Clean_Data!K100)</f>
        <v>Cancelled</v>
      </c>
      <c r="I100" s="10">
        <f>Clean_Data!H100</f>
        <v>45620</v>
      </c>
      <c r="J100" s="10">
        <f>Clean_Data!I100</f>
        <v>45632</v>
      </c>
      <c r="K100" s="10" t="str">
        <f>Clean_Data!J100</f>
        <v/>
      </c>
      <c r="L100" s="2" t="str">
        <f>IF(Calc_Helper!I100="","Unknown",Calc_Helper!I100)</f>
        <v>2024-12</v>
      </c>
      <c r="M100" s="2" t="str">
        <f>IF(Calc_Helper!J100="","Unknown",Calc_Helper!J100)</f>
        <v>2024-11</v>
      </c>
      <c r="N100" s="19" t="str">
        <f>IF(Calc_Helper!K100="","",Calc_Helper!K100)</f>
        <v/>
      </c>
      <c r="O100" s="2">
        <f>IFERROR(Calc_Helper!L100,"")</f>
        <v>2024</v>
      </c>
      <c r="P100" s="2">
        <f>IFERROR(Calc_Helper!M100,"")</f>
        <v>11</v>
      </c>
      <c r="Q100" s="2" t="str">
        <f>IF(Calc_Helper!N100="","Unknown",Calc_Helper!N100)</f>
        <v>November</v>
      </c>
      <c r="R100" s="15">
        <f>IFERROR(IF(ISNUMBER(Clean_Data!L100),Clean_Data!L100,0),0)</f>
        <v>0</v>
      </c>
      <c r="S100" s="16">
        <f>IFERROR(IF(ISNUMBER(Clean_Data!M100),Clean_Data!M100,0),0)</f>
        <v>18.7</v>
      </c>
      <c r="T100" s="16">
        <f>IF(Clean_Data!N100="","",IFERROR(IF(ISNUMBER(Clean_Data!N100),Clean_Data!N100,""),""))</f>
        <v>0</v>
      </c>
      <c r="U100" s="16">
        <f>IFERROR(IF(ISNUMBER(Clean_Data!O100),Clean_Data!O100,0),0)</f>
        <v>-18.7</v>
      </c>
      <c r="V100" s="2">
        <f ca="1">IFERROR(IF(ISNUMBER(Calc_Helper!E100),Calc_Helper!E100,0),0)</f>
        <v>0</v>
      </c>
      <c r="W100" s="2">
        <f ca="1">IFERROR(IF(ISNUMBER(Calc_Helper!F100),Calc_Helper!F100,0),0)</f>
        <v>0</v>
      </c>
      <c r="X100" s="2">
        <f>IFERROR(IF(ISNUMBER(Calc_Helper!G100),Calc_Helper!G100,0),0)</f>
        <v>0</v>
      </c>
      <c r="Y100" s="2">
        <f ca="1">IFERROR(IF(ISNUMBER(Calc_Helper!H100),Calc_Helper!H100,0),0)</f>
        <v>506</v>
      </c>
      <c r="Z100" s="19" t="b">
        <f>Calc_Helper!B100</f>
        <v>0</v>
      </c>
      <c r="AA100" s="2">
        <f>IF(Calc_Helper!B100=TRUE(),1,0)</f>
        <v>0</v>
      </c>
      <c r="AB100" s="19" t="b">
        <f>Calc_Helper!C100</f>
        <v>0</v>
      </c>
      <c r="AC100" s="2">
        <f>IF(Calc_Helper!C100=TRUE(),1,0)</f>
        <v>0</v>
      </c>
      <c r="AD100" s="19" t="b">
        <f ca="1">Calc_Helper!D100</f>
        <v>0</v>
      </c>
      <c r="AE100" s="2">
        <f ca="1">IF(Calc_Helper!D100=TRUE(),1,0)</f>
        <v>0</v>
      </c>
      <c r="AF100" s="19" t="b">
        <f ca="1">Calc_Helper!O100</f>
        <v>0</v>
      </c>
      <c r="AG100" s="2">
        <f ca="1">IF(Calc_Helper!O100=TRUE(),1,0)</f>
        <v>0</v>
      </c>
      <c r="AH100" s="19" t="b">
        <f>Calc_Helper!P100</f>
        <v>0</v>
      </c>
      <c r="AI100" s="2">
        <f>IF(Calc_Helper!P100=TRUE(),1,0)</f>
        <v>0</v>
      </c>
      <c r="AJ100" s="19" t="b">
        <f ca="1">Calc_Helper!Q100</f>
        <v>0</v>
      </c>
      <c r="AK100" s="2">
        <f ca="1">IF(Calc_Helper!Q100=TRUE(),1,0)</f>
        <v>0</v>
      </c>
      <c r="AL100" s="19" t="b">
        <f ca="1">Calc_Helper!R100</f>
        <v>0</v>
      </c>
      <c r="AM100" s="2">
        <f ca="1">IF(Calc_Helper!R100=TRUE(),1,0)</f>
        <v>0</v>
      </c>
      <c r="AN100" s="2" t="str">
        <f>IF(Calc_Helper!S100="","Unknown",Calc_Helper!S100)</f>
        <v>N/A</v>
      </c>
      <c r="AO100" s="2">
        <f>IF(OR(Calc_Helper!S100="Healthy",Calc_Helper!S100="On Track"),1,0)</f>
        <v>0</v>
      </c>
      <c r="AP100" s="2" t="str">
        <f>IFERROR(IF(Calc_Helper!T100="","",Calc_Helper!T100),"")</f>
        <v/>
      </c>
      <c r="AQ100" s="2">
        <f>IF(Calc_Helper!T100=TRUE(),1,0)</f>
        <v>0</v>
      </c>
    </row>
    <row r="101" spans="1:43" x14ac:dyDescent="0.3">
      <c r="A101" s="5" t="str">
        <f>IF(Clean_Data!A101="","Unknown",Clean_Data!A101)</f>
        <v>TSK-0100</v>
      </c>
      <c r="B101" s="5" t="str">
        <f>IF(Clean_Data!B101="","Unknown",Clean_Data!B101)</f>
        <v>Product Launch</v>
      </c>
      <c r="C101" s="5" t="str">
        <f>IF(Clean_Data!C101="","Unknown",Clean_Data!C101)</f>
        <v>Finance</v>
      </c>
      <c r="D101" s="5" t="str">
        <f>IF(Clean_Data!D101="","Unknown",Clean_Data!D101)</f>
        <v>Amit Verma</v>
      </c>
      <c r="E101" s="5" t="str">
        <f>IF(Clean_Data!E101="","Unknown",Clean_Data!E101)</f>
        <v>Manager</v>
      </c>
      <c r="F101" s="5" t="str">
        <f>IF(Clean_Data!F101="","Unknown",Clean_Data!F101)</f>
        <v>High</v>
      </c>
      <c r="G101" s="5" t="str">
        <f>IF(Clean_Data!G101="","Unknown",Clean_Data!G101)</f>
        <v>Design</v>
      </c>
      <c r="H101" s="5" t="str">
        <f>IF(Clean_Data!K101="","Unknown",Clean_Data!K101)</f>
        <v>Completed</v>
      </c>
      <c r="I101" s="13">
        <f>Clean_Data!H101</f>
        <v>45604</v>
      </c>
      <c r="J101" s="13">
        <f>Clean_Data!I101</f>
        <v>45618</v>
      </c>
      <c r="K101" s="13">
        <f>Clean_Data!J101</f>
        <v>45613</v>
      </c>
      <c r="L101" s="5" t="str">
        <f>IF(Calc_Helper!I101="","Unknown",Calc_Helper!I101)</f>
        <v>2024-11</v>
      </c>
      <c r="M101" s="5" t="str">
        <f>IF(Calc_Helper!J101="","Unknown",Calc_Helper!J101)</f>
        <v>2024-11</v>
      </c>
      <c r="N101" s="19" t="str">
        <f>IF(Calc_Helper!K101="","",Calc_Helper!K101)</f>
        <v>2024-11</v>
      </c>
      <c r="O101" s="5">
        <f>IFERROR(Calc_Helper!L101,"")</f>
        <v>2024</v>
      </c>
      <c r="P101" s="5">
        <f>IFERROR(Calc_Helper!M101,"")</f>
        <v>11</v>
      </c>
      <c r="Q101" s="5" t="str">
        <f>IF(Calc_Helper!N101="","Unknown",Calc_Helper!N101)</f>
        <v>November</v>
      </c>
      <c r="R101" s="17">
        <f>IFERROR(IF(ISNUMBER(Clean_Data!L101),Clean_Data!L101,0),0)</f>
        <v>1</v>
      </c>
      <c r="S101" s="18">
        <f>IFERROR(IF(ISNUMBER(Clean_Data!M101),Clean_Data!M101,0),0)</f>
        <v>39.299999999999997</v>
      </c>
      <c r="T101" s="16">
        <f>IF(Clean_Data!N101="","",IFERROR(IF(ISNUMBER(Clean_Data!N101),Clean_Data!N101,""),""))</f>
        <v>46.8</v>
      </c>
      <c r="U101" s="18">
        <f>IFERROR(IF(ISNUMBER(Clean_Data!O101),Clean_Data!O101,0),0)</f>
        <v>7.5</v>
      </c>
      <c r="V101" s="5">
        <f ca="1">IFERROR(IF(ISNUMBER(Calc_Helper!E101),Calc_Helper!E101,0),0)</f>
        <v>0</v>
      </c>
      <c r="W101" s="5">
        <f ca="1">IFERROR(IF(ISNUMBER(Calc_Helper!F101),Calc_Helper!F101,0),0)</f>
        <v>0</v>
      </c>
      <c r="X101" s="5">
        <f>IFERROR(IF(ISNUMBER(Calc_Helper!G101),Calc_Helper!G101,0),0)</f>
        <v>9</v>
      </c>
      <c r="Y101" s="5">
        <f ca="1">IFERROR(IF(ISNUMBER(Calc_Helper!H101),Calc_Helper!H101,0),0)</f>
        <v>9</v>
      </c>
      <c r="Z101" s="20" t="b">
        <f>Calc_Helper!B101</f>
        <v>1</v>
      </c>
      <c r="AA101" s="5">
        <f>IF(Calc_Helper!B101=TRUE(),1,0)</f>
        <v>1</v>
      </c>
      <c r="AB101" s="20" t="b">
        <f>Calc_Helper!C101</f>
        <v>0</v>
      </c>
      <c r="AC101" s="5">
        <f>IF(Calc_Helper!C101=TRUE(),1,0)</f>
        <v>0</v>
      </c>
      <c r="AD101" s="20" t="b">
        <f ca="1">Calc_Helper!D101</f>
        <v>0</v>
      </c>
      <c r="AE101" s="5">
        <f ca="1">IF(Calc_Helper!D101=TRUE(),1,0)</f>
        <v>0</v>
      </c>
      <c r="AF101" s="20" t="b">
        <f ca="1">Calc_Helper!O101</f>
        <v>0</v>
      </c>
      <c r="AG101" s="5">
        <f ca="1">IF(Calc_Helper!O101=TRUE(),1,0)</f>
        <v>0</v>
      </c>
      <c r="AH101" s="20" t="b">
        <f>Calc_Helper!P101</f>
        <v>0</v>
      </c>
      <c r="AI101" s="5">
        <f>IF(Calc_Helper!P101=TRUE(),1,0)</f>
        <v>0</v>
      </c>
      <c r="AJ101" s="20" t="b">
        <f ca="1">Calc_Helper!Q101</f>
        <v>0</v>
      </c>
      <c r="AK101" s="5">
        <f ca="1">IF(Calc_Helper!Q101=TRUE(),1,0)</f>
        <v>0</v>
      </c>
      <c r="AL101" s="20" t="b">
        <f ca="1">Calc_Helper!R101</f>
        <v>0</v>
      </c>
      <c r="AM101" s="5">
        <f ca="1">IF(Calc_Helper!R101=TRUE(),1,0)</f>
        <v>0</v>
      </c>
      <c r="AN101" s="5" t="str">
        <f>IF(Calc_Helper!S101="","Unknown",Calc_Helper!S101)</f>
        <v>Healthy</v>
      </c>
      <c r="AO101" s="5">
        <f>IF(OR(Calc_Helper!S101="Healthy",Calc_Helper!S101="On Track"),1,0)</f>
        <v>1</v>
      </c>
      <c r="AP101" s="20" t="b">
        <f>IFERROR(IF(Calc_Helper!T101="","",Calc_Helper!T101),"")</f>
        <v>1</v>
      </c>
      <c r="AQ101" s="5">
        <f>IF(Calc_Helper!T101=TRUE(),1,0)</f>
        <v>1</v>
      </c>
    </row>
    <row r="102" spans="1:43" x14ac:dyDescent="0.3">
      <c r="A102" s="2" t="str">
        <f>IF(Clean_Data!A102="","Unknown",Clean_Data!A102)</f>
        <v>TSK-0101</v>
      </c>
      <c r="B102" s="2" t="str">
        <f>IF(Clean_Data!B102="","Unknown",Clean_Data!B102)</f>
        <v>Mobile App v2</v>
      </c>
      <c r="C102" s="2" t="str">
        <f>IF(Clean_Data!C102="","Unknown",Clean_Data!C102)</f>
        <v>HR</v>
      </c>
      <c r="D102" s="2" t="str">
        <f>IF(Clean_Data!D102="","Unknown",Clean_Data!D102)</f>
        <v>Meera Thakur</v>
      </c>
      <c r="E102" s="2" t="str">
        <f>IF(Clean_Data!E102="","Unknown",Clean_Data!E102)</f>
        <v>Designer</v>
      </c>
      <c r="F102" s="2" t="str">
        <f>IF(Clean_Data!F102="","Unknown",Clean_Data!F102)</f>
        <v>High</v>
      </c>
      <c r="G102" s="2" t="str">
        <f>IF(Clean_Data!G102="","Unknown",Clean_Data!G102)</f>
        <v>Documentation</v>
      </c>
      <c r="H102" s="2" t="str">
        <f>IF(Clean_Data!K102="","Unknown",Clean_Data!K102)</f>
        <v>On Hold</v>
      </c>
      <c r="I102" s="10">
        <f>Clean_Data!H102</f>
        <v>45330</v>
      </c>
      <c r="J102" s="10">
        <f>Clean_Data!I102</f>
        <v>45365</v>
      </c>
      <c r="K102" s="10" t="str">
        <f>Clean_Data!J102</f>
        <v/>
      </c>
      <c r="L102" s="2" t="str">
        <f>IF(Calc_Helper!I102="","Unknown",Calc_Helper!I102)</f>
        <v>2024-03</v>
      </c>
      <c r="M102" s="2" t="str">
        <f>IF(Calc_Helper!J102="","Unknown",Calc_Helper!J102)</f>
        <v>2024-02</v>
      </c>
      <c r="N102" s="19" t="str">
        <f>IF(Calc_Helper!K102="","",Calc_Helper!K102)</f>
        <v/>
      </c>
      <c r="O102" s="2">
        <f>IFERROR(Calc_Helper!L102,"")</f>
        <v>2024</v>
      </c>
      <c r="P102" s="2">
        <f>IFERROR(Calc_Helper!M102,"")</f>
        <v>2</v>
      </c>
      <c r="Q102" s="2" t="str">
        <f>IF(Calc_Helper!N102="","Unknown",Calc_Helper!N102)</f>
        <v>February</v>
      </c>
      <c r="R102" s="15">
        <f>IFERROR(IF(ISNUMBER(Clean_Data!L102),Clean_Data!L102,0),0)</f>
        <v>0</v>
      </c>
      <c r="S102" s="16">
        <f>IFERROR(IF(ISNUMBER(Clean_Data!M102),Clean_Data!M102,0),0)</f>
        <v>48.9</v>
      </c>
      <c r="T102" s="16">
        <f>IF(Clean_Data!N102="","",IFERROR(IF(ISNUMBER(Clean_Data!N102),Clean_Data!N102,""),""))</f>
        <v>0</v>
      </c>
      <c r="U102" s="16">
        <f>IFERROR(IF(ISNUMBER(Clean_Data!O102),Clean_Data!O102,0),0)</f>
        <v>-48.9</v>
      </c>
      <c r="V102" s="2">
        <f ca="1">IFERROR(IF(ISNUMBER(Calc_Helper!E102),Calc_Helper!E102,0),0)</f>
        <v>796</v>
      </c>
      <c r="W102" s="2">
        <f ca="1">IFERROR(IF(ISNUMBER(Calc_Helper!F102),Calc_Helper!F102,0),0)</f>
        <v>761</v>
      </c>
      <c r="X102" s="2">
        <f>IFERROR(IF(ISNUMBER(Calc_Helper!G102),Calc_Helper!G102,0),0)</f>
        <v>0</v>
      </c>
      <c r="Y102" s="2">
        <f ca="1">IFERROR(IF(ISNUMBER(Calc_Helper!H102),Calc_Helper!H102,0),0)</f>
        <v>796</v>
      </c>
      <c r="Z102" s="19" t="b">
        <f>Calc_Helper!B102</f>
        <v>0</v>
      </c>
      <c r="AA102" s="2">
        <f>IF(Calc_Helper!B102=TRUE(),1,0)</f>
        <v>0</v>
      </c>
      <c r="AB102" s="19" t="b">
        <f>Calc_Helper!C102</f>
        <v>1</v>
      </c>
      <c r="AC102" s="2">
        <f>IF(Calc_Helper!C102=TRUE(),1,0)</f>
        <v>1</v>
      </c>
      <c r="AD102" s="19" t="b">
        <f ca="1">Calc_Helper!D102</f>
        <v>1</v>
      </c>
      <c r="AE102" s="2">
        <f ca="1">IF(Calc_Helper!D102=TRUE(),1,0)</f>
        <v>1</v>
      </c>
      <c r="AF102" s="19" t="b">
        <f ca="1">Calc_Helper!O102</f>
        <v>1</v>
      </c>
      <c r="AG102" s="2">
        <f ca="1">IF(Calc_Helper!O102=TRUE(),1,0)</f>
        <v>1</v>
      </c>
      <c r="AH102" s="19" t="b">
        <f>Calc_Helper!P102</f>
        <v>1</v>
      </c>
      <c r="AI102" s="2">
        <f>IF(Calc_Helper!P102=TRUE(),1,0)</f>
        <v>1</v>
      </c>
      <c r="AJ102" s="19" t="b">
        <f ca="1">Calc_Helper!Q102</f>
        <v>1</v>
      </c>
      <c r="AK102" s="2">
        <f ca="1">IF(Calc_Helper!Q102=TRUE(),1,0)</f>
        <v>1</v>
      </c>
      <c r="AL102" s="19" t="b">
        <f ca="1">Calc_Helper!R102</f>
        <v>0</v>
      </c>
      <c r="AM102" s="2">
        <f ca="1">IF(Calc_Helper!R102=TRUE(),1,0)</f>
        <v>0</v>
      </c>
      <c r="AN102" s="2" t="str">
        <f>IF(Calc_Helper!S102="","Unknown",Calc_Helper!S102)</f>
        <v>N/A</v>
      </c>
      <c r="AO102" s="2">
        <f>IF(OR(Calc_Helper!S102="Healthy",Calc_Helper!S102="On Track"),1,0)</f>
        <v>0</v>
      </c>
      <c r="AP102" s="2" t="str">
        <f>IFERROR(IF(Calc_Helper!T102="","",Calc_Helper!T102),"")</f>
        <v/>
      </c>
      <c r="AQ102" s="2">
        <f>IF(Calc_Helper!T102=TRUE(),1,0)</f>
        <v>0</v>
      </c>
    </row>
    <row r="103" spans="1:43" x14ac:dyDescent="0.3">
      <c r="A103" s="5" t="str">
        <f>IF(Clean_Data!A103="","Unknown",Clean_Data!A103)</f>
        <v>TSK-0102</v>
      </c>
      <c r="B103" s="5" t="str">
        <f>IF(Clean_Data!B103="","Unknown",Clean_Data!B103)</f>
        <v>Employee Onboarding</v>
      </c>
      <c r="C103" s="5" t="str">
        <f>IF(Clean_Data!C103="","Unknown",Clean_Data!C103)</f>
        <v>Sales</v>
      </c>
      <c r="D103" s="5" t="str">
        <f>IF(Clean_Data!D103="","Unknown",Clean_Data!D103)</f>
        <v>Kavita Rao</v>
      </c>
      <c r="E103" s="5" t="str">
        <f>IF(Clean_Data!E103="","Unknown",Clean_Data!E103)</f>
        <v>Analyst</v>
      </c>
      <c r="F103" s="5" t="str">
        <f>IF(Clean_Data!F103="","Unknown",Clean_Data!F103)</f>
        <v>High</v>
      </c>
      <c r="G103" s="5" t="str">
        <f>IF(Clean_Data!G103="","Unknown",Clean_Data!G103)</f>
        <v>Review</v>
      </c>
      <c r="H103" s="5" t="str">
        <f>IF(Clean_Data!K103="","Unknown",Clean_Data!K103)</f>
        <v>Completed</v>
      </c>
      <c r="I103" s="13">
        <f>Clean_Data!H103</f>
        <v>45442</v>
      </c>
      <c r="J103" s="13">
        <f>Clean_Data!I103</f>
        <v>45451</v>
      </c>
      <c r="K103" s="13">
        <f>Clean_Data!J103</f>
        <v>45460</v>
      </c>
      <c r="L103" s="5" t="str">
        <f>IF(Calc_Helper!I103="","Unknown",Calc_Helper!I103)</f>
        <v>2024-06</v>
      </c>
      <c r="M103" s="5" t="str">
        <f>IF(Calc_Helper!J103="","Unknown",Calc_Helper!J103)</f>
        <v>2024-05</v>
      </c>
      <c r="N103" s="19" t="str">
        <f>IF(Calc_Helper!K103="","",Calc_Helper!K103)</f>
        <v>2024-06</v>
      </c>
      <c r="O103" s="5">
        <f>IFERROR(Calc_Helper!L103,"")</f>
        <v>2024</v>
      </c>
      <c r="P103" s="5">
        <f>IFERROR(Calc_Helper!M103,"")</f>
        <v>5</v>
      </c>
      <c r="Q103" s="5" t="str">
        <f>IF(Calc_Helper!N103="","Unknown",Calc_Helper!N103)</f>
        <v>May</v>
      </c>
      <c r="R103" s="17">
        <f>IFERROR(IF(ISNUMBER(Clean_Data!L103),Clean_Data!L103,0),0)</f>
        <v>1</v>
      </c>
      <c r="S103" s="18">
        <f>IFERROR(IF(ISNUMBER(Clean_Data!M103),Clean_Data!M103,0),0)</f>
        <v>42.5</v>
      </c>
      <c r="T103" s="16">
        <f>IF(Clean_Data!N103="","",IFERROR(IF(ISNUMBER(Clean_Data!N103),Clean_Data!N103,""),""))</f>
        <v>46</v>
      </c>
      <c r="U103" s="18">
        <f>IFERROR(IF(ISNUMBER(Clean_Data!O103),Clean_Data!O103,0),0)</f>
        <v>3.5</v>
      </c>
      <c r="V103" s="5">
        <f ca="1">IFERROR(IF(ISNUMBER(Calc_Helper!E103),Calc_Helper!E103,0),0)</f>
        <v>0</v>
      </c>
      <c r="W103" s="5">
        <f ca="1">IFERROR(IF(ISNUMBER(Calc_Helper!F103),Calc_Helper!F103,0),0)</f>
        <v>9</v>
      </c>
      <c r="X103" s="5">
        <f>IFERROR(IF(ISNUMBER(Calc_Helper!G103),Calc_Helper!G103,0),0)</f>
        <v>18</v>
      </c>
      <c r="Y103" s="5">
        <f ca="1">IFERROR(IF(ISNUMBER(Calc_Helper!H103),Calc_Helper!H103,0),0)</f>
        <v>18</v>
      </c>
      <c r="Z103" s="20" t="b">
        <f>Calc_Helper!B103</f>
        <v>1</v>
      </c>
      <c r="AA103" s="5">
        <f>IF(Calc_Helper!B103=TRUE(),1,0)</f>
        <v>1</v>
      </c>
      <c r="AB103" s="20" t="b">
        <f>Calc_Helper!C103</f>
        <v>0</v>
      </c>
      <c r="AC103" s="5">
        <f>IF(Calc_Helper!C103=TRUE(),1,0)</f>
        <v>0</v>
      </c>
      <c r="AD103" s="20" t="b">
        <f ca="1">Calc_Helper!D103</f>
        <v>0</v>
      </c>
      <c r="AE103" s="5">
        <f ca="1">IF(Calc_Helper!D103=TRUE(),1,0)</f>
        <v>0</v>
      </c>
      <c r="AF103" s="20" t="b">
        <f ca="1">Calc_Helper!O103</f>
        <v>0</v>
      </c>
      <c r="AG103" s="5">
        <f ca="1">IF(Calc_Helper!O103=TRUE(),1,0)</f>
        <v>0</v>
      </c>
      <c r="AH103" s="20" t="b">
        <f>Calc_Helper!P103</f>
        <v>0</v>
      </c>
      <c r="AI103" s="5">
        <f>IF(Calc_Helper!P103=TRUE(),1,0)</f>
        <v>0</v>
      </c>
      <c r="AJ103" s="20" t="b">
        <f ca="1">Calc_Helper!Q103</f>
        <v>0</v>
      </c>
      <c r="AK103" s="5">
        <f ca="1">IF(Calc_Helper!Q103=TRUE(),1,0)</f>
        <v>0</v>
      </c>
      <c r="AL103" s="20" t="b">
        <f ca="1">Calc_Helper!R103</f>
        <v>0</v>
      </c>
      <c r="AM103" s="5">
        <f ca="1">IF(Calc_Helper!R103=TRUE(),1,0)</f>
        <v>0</v>
      </c>
      <c r="AN103" s="5" t="str">
        <f>IF(Calc_Helper!S103="","Unknown",Calc_Helper!S103)</f>
        <v>Healthy</v>
      </c>
      <c r="AO103" s="5">
        <f>IF(OR(Calc_Helper!S103="Healthy",Calc_Helper!S103="On Track"),1,0)</f>
        <v>1</v>
      </c>
      <c r="AP103" s="20" t="b">
        <f>IFERROR(IF(Calc_Helper!T103="","",Calc_Helper!T103),"")</f>
        <v>0</v>
      </c>
      <c r="AQ103" s="5">
        <f>IF(Calc_Helper!T103=TRUE(),1,0)</f>
        <v>0</v>
      </c>
    </row>
    <row r="104" spans="1:43" x14ac:dyDescent="0.3">
      <c r="A104" s="2" t="str">
        <f>IF(Clean_Data!A104="","Unknown",Clean_Data!A104)</f>
        <v>TSK-0103</v>
      </c>
      <c r="B104" s="2" t="str">
        <f>IF(Clean_Data!B104="","Unknown",Clean_Data!B104)</f>
        <v>Mobile App v2</v>
      </c>
      <c r="C104" s="2" t="str">
        <f>IF(Clean_Data!C104="","Unknown",Clean_Data!C104)</f>
        <v>Marketing</v>
      </c>
      <c r="D104" s="2" t="str">
        <f>IF(Clean_Data!D104="","Unknown",Clean_Data!D104)</f>
        <v>Neha Joshi</v>
      </c>
      <c r="E104" s="2" t="str">
        <f>IF(Clean_Data!E104="","Unknown",Clean_Data!E104)</f>
        <v>Lead</v>
      </c>
      <c r="F104" s="2" t="str">
        <f>IF(Clean_Data!F104="","Unknown",Clean_Data!F104)</f>
        <v>Low</v>
      </c>
      <c r="G104" s="2" t="str">
        <f>IF(Clean_Data!G104="","Unknown",Clean_Data!G104)</f>
        <v>Testing</v>
      </c>
      <c r="H104" s="2" t="str">
        <f>IF(Clean_Data!K104="","Unknown",Clean_Data!K104)</f>
        <v>Completed</v>
      </c>
      <c r="I104" s="10">
        <f>Clean_Data!H104</f>
        <v>45327</v>
      </c>
      <c r="J104" s="10">
        <f>Clean_Data!I104</f>
        <v>45360</v>
      </c>
      <c r="K104" s="10">
        <f>Clean_Data!J104</f>
        <v>45375</v>
      </c>
      <c r="L104" s="2" t="str">
        <f>IF(Calc_Helper!I104="","Unknown",Calc_Helper!I104)</f>
        <v>2024-03</v>
      </c>
      <c r="M104" s="2" t="str">
        <f>IF(Calc_Helper!J104="","Unknown",Calc_Helper!J104)</f>
        <v>2024-02</v>
      </c>
      <c r="N104" s="19" t="str">
        <f>IF(Calc_Helper!K104="","",Calc_Helper!K104)</f>
        <v>2024-03</v>
      </c>
      <c r="O104" s="2">
        <f>IFERROR(Calc_Helper!L104,"")</f>
        <v>2024</v>
      </c>
      <c r="P104" s="2">
        <f>IFERROR(Calc_Helper!M104,"")</f>
        <v>2</v>
      </c>
      <c r="Q104" s="2" t="str">
        <f>IF(Calc_Helper!N104="","Unknown",Calc_Helper!N104)</f>
        <v>February</v>
      </c>
      <c r="R104" s="15">
        <f>IFERROR(IF(ISNUMBER(Clean_Data!L104),Clean_Data!L104,0),0)</f>
        <v>1</v>
      </c>
      <c r="S104" s="16">
        <f>IFERROR(IF(ISNUMBER(Clean_Data!M104),Clean_Data!M104,0),0)</f>
        <v>78.7</v>
      </c>
      <c r="T104" s="16">
        <f>IF(Clean_Data!N104="","",IFERROR(IF(ISNUMBER(Clean_Data!N104),Clean_Data!N104,""),""))</f>
        <v>67.099999999999994</v>
      </c>
      <c r="U104" s="16">
        <f>IFERROR(IF(ISNUMBER(Clean_Data!O104),Clean_Data!O104,0),0)</f>
        <v>-11.600000000000009</v>
      </c>
      <c r="V104" s="2">
        <f ca="1">IFERROR(IF(ISNUMBER(Calc_Helper!E104),Calc_Helper!E104,0),0)</f>
        <v>0</v>
      </c>
      <c r="W104" s="2">
        <f ca="1">IFERROR(IF(ISNUMBER(Calc_Helper!F104),Calc_Helper!F104,0),0)</f>
        <v>15</v>
      </c>
      <c r="X104" s="2">
        <f>IFERROR(IF(ISNUMBER(Calc_Helper!G104),Calc_Helper!G104,0),0)</f>
        <v>48</v>
      </c>
      <c r="Y104" s="2">
        <f ca="1">IFERROR(IF(ISNUMBER(Calc_Helper!H104),Calc_Helper!H104,0),0)</f>
        <v>48</v>
      </c>
      <c r="Z104" s="19" t="b">
        <f>Calc_Helper!B104</f>
        <v>1</v>
      </c>
      <c r="AA104" s="2">
        <f>IF(Calc_Helper!B104=TRUE(),1,0)</f>
        <v>1</v>
      </c>
      <c r="AB104" s="19" t="b">
        <f>Calc_Helper!C104</f>
        <v>0</v>
      </c>
      <c r="AC104" s="2">
        <f>IF(Calc_Helper!C104=TRUE(),1,0)</f>
        <v>0</v>
      </c>
      <c r="AD104" s="19" t="b">
        <f ca="1">Calc_Helper!D104</f>
        <v>0</v>
      </c>
      <c r="AE104" s="2">
        <f ca="1">IF(Calc_Helper!D104=TRUE(),1,0)</f>
        <v>0</v>
      </c>
      <c r="AF104" s="19" t="b">
        <f ca="1">Calc_Helper!O104</f>
        <v>0</v>
      </c>
      <c r="AG104" s="2">
        <f ca="1">IF(Calc_Helper!O104=TRUE(),1,0)</f>
        <v>0</v>
      </c>
      <c r="AH104" s="19" t="b">
        <f>Calc_Helper!P104</f>
        <v>0</v>
      </c>
      <c r="AI104" s="2">
        <f>IF(Calc_Helper!P104=TRUE(),1,0)</f>
        <v>0</v>
      </c>
      <c r="AJ104" s="19" t="b">
        <f ca="1">Calc_Helper!Q104</f>
        <v>0</v>
      </c>
      <c r="AK104" s="2">
        <f ca="1">IF(Calc_Helper!Q104=TRUE(),1,0)</f>
        <v>0</v>
      </c>
      <c r="AL104" s="19" t="b">
        <f ca="1">Calc_Helper!R104</f>
        <v>0</v>
      </c>
      <c r="AM104" s="2">
        <f ca="1">IF(Calc_Helper!R104=TRUE(),1,0)</f>
        <v>0</v>
      </c>
      <c r="AN104" s="2" t="str">
        <f>IF(Calc_Helper!S104="","Unknown",Calc_Helper!S104)</f>
        <v>Healthy</v>
      </c>
      <c r="AO104" s="2">
        <f>IF(OR(Calc_Helper!S104="Healthy",Calc_Helper!S104="On Track"),1,0)</f>
        <v>1</v>
      </c>
      <c r="AP104" s="19" t="b">
        <f>IFERROR(IF(Calc_Helper!T104="","",Calc_Helper!T104),"")</f>
        <v>0</v>
      </c>
      <c r="AQ104" s="2">
        <f>IF(Calc_Helper!T104=TRUE(),1,0)</f>
        <v>0</v>
      </c>
    </row>
    <row r="105" spans="1:43" x14ac:dyDescent="0.3">
      <c r="A105" s="5" t="str">
        <f>IF(Clean_Data!A105="","Unknown",Clean_Data!A105)</f>
        <v>TSK-0104</v>
      </c>
      <c r="B105" s="5" t="str">
        <f>IF(Clean_Data!B105="","Unknown",Clean_Data!B105)</f>
        <v>Product Launch</v>
      </c>
      <c r="C105" s="5" t="str">
        <f>IF(Clean_Data!C105="","Unknown",Clean_Data!C105)</f>
        <v>Sales</v>
      </c>
      <c r="D105" s="5" t="str">
        <f>IF(Clean_Data!D105="","Unknown",Clean_Data!D105)</f>
        <v>Kavita Rao</v>
      </c>
      <c r="E105" s="5" t="str">
        <f>IF(Clean_Data!E105="","Unknown",Clean_Data!E105)</f>
        <v>Lead</v>
      </c>
      <c r="F105" s="5" t="str">
        <f>IF(Clean_Data!F105="","Unknown",Clean_Data!F105)</f>
        <v>Low</v>
      </c>
      <c r="G105" s="5" t="str">
        <f>IF(Clean_Data!G105="","Unknown",Clean_Data!G105)</f>
        <v>Design</v>
      </c>
      <c r="H105" s="5" t="str">
        <f>IF(Clean_Data!K105="","Unknown",Clean_Data!K105)</f>
        <v>Not Started</v>
      </c>
      <c r="I105" s="13">
        <f>Clean_Data!H105</f>
        <v>45482</v>
      </c>
      <c r="J105" s="13">
        <f>Clean_Data!I105</f>
        <v>45510</v>
      </c>
      <c r="K105" s="13" t="str">
        <f>Clean_Data!J105</f>
        <v/>
      </c>
      <c r="L105" s="5" t="str">
        <f>IF(Calc_Helper!I105="","Unknown",Calc_Helper!I105)</f>
        <v>2024-08</v>
      </c>
      <c r="M105" s="5" t="str">
        <f>IF(Calc_Helper!J105="","Unknown",Calc_Helper!J105)</f>
        <v>2024-07</v>
      </c>
      <c r="N105" s="19" t="str">
        <f>IF(Calc_Helper!K105="","",Calc_Helper!K105)</f>
        <v/>
      </c>
      <c r="O105" s="5">
        <f>IFERROR(Calc_Helper!L105,"")</f>
        <v>2024</v>
      </c>
      <c r="P105" s="5">
        <f>IFERROR(Calc_Helper!M105,"")</f>
        <v>7</v>
      </c>
      <c r="Q105" s="5" t="str">
        <f>IF(Calc_Helper!N105="","Unknown",Calc_Helper!N105)</f>
        <v>July</v>
      </c>
      <c r="R105" s="17">
        <f>IFERROR(IF(ISNUMBER(Clean_Data!L105),Clean_Data!L105,0),0)</f>
        <v>0</v>
      </c>
      <c r="S105" s="18">
        <f>IFERROR(IF(ISNUMBER(Clean_Data!M105),Clean_Data!M105,0),0)</f>
        <v>35.1</v>
      </c>
      <c r="T105" s="16">
        <f>IF(Clean_Data!N105="","",IFERROR(IF(ISNUMBER(Clean_Data!N105),Clean_Data!N105,""),""))</f>
        <v>0</v>
      </c>
      <c r="U105" s="18">
        <f>IFERROR(IF(ISNUMBER(Clean_Data!O105),Clean_Data!O105,0),0)</f>
        <v>-35.1</v>
      </c>
      <c r="V105" s="5">
        <f ca="1">IFERROR(IF(ISNUMBER(Calc_Helper!E105),Calc_Helper!E105,0),0)</f>
        <v>644</v>
      </c>
      <c r="W105" s="5">
        <f ca="1">IFERROR(IF(ISNUMBER(Calc_Helper!F105),Calc_Helper!F105,0),0)</f>
        <v>616</v>
      </c>
      <c r="X105" s="5">
        <f>IFERROR(IF(ISNUMBER(Calc_Helper!G105),Calc_Helper!G105,0),0)</f>
        <v>0</v>
      </c>
      <c r="Y105" s="5">
        <f ca="1">IFERROR(IF(ISNUMBER(Calc_Helper!H105),Calc_Helper!H105,0),0)</f>
        <v>644</v>
      </c>
      <c r="Z105" s="20" t="b">
        <f>Calc_Helper!B105</f>
        <v>0</v>
      </c>
      <c r="AA105" s="5">
        <f>IF(Calc_Helper!B105=TRUE(),1,0)</f>
        <v>0</v>
      </c>
      <c r="AB105" s="20" t="b">
        <f>Calc_Helper!C105</f>
        <v>1</v>
      </c>
      <c r="AC105" s="5">
        <f>IF(Calc_Helper!C105=TRUE(),1,0)</f>
        <v>1</v>
      </c>
      <c r="AD105" s="20" t="b">
        <f ca="1">Calc_Helper!D105</f>
        <v>1</v>
      </c>
      <c r="AE105" s="5">
        <f ca="1">IF(Calc_Helper!D105=TRUE(),1,0)</f>
        <v>1</v>
      </c>
      <c r="AF105" s="20" t="b">
        <f ca="1">Calc_Helper!O105</f>
        <v>1</v>
      </c>
      <c r="AG105" s="5">
        <f ca="1">IF(Calc_Helper!O105=TRUE(),1,0)</f>
        <v>1</v>
      </c>
      <c r="AH105" s="20" t="b">
        <f>Calc_Helper!P105</f>
        <v>0</v>
      </c>
      <c r="AI105" s="5">
        <f>IF(Calc_Helper!P105=TRUE(),1,0)</f>
        <v>0</v>
      </c>
      <c r="AJ105" s="20" t="b">
        <f ca="1">Calc_Helper!Q105</f>
        <v>0</v>
      </c>
      <c r="AK105" s="5">
        <f ca="1">IF(Calc_Helper!Q105=TRUE(),1,0)</f>
        <v>0</v>
      </c>
      <c r="AL105" s="20" t="b">
        <f ca="1">Calc_Helper!R105</f>
        <v>0</v>
      </c>
      <c r="AM105" s="5">
        <f ca="1">IF(Calc_Helper!R105=TRUE(),1,0)</f>
        <v>0</v>
      </c>
      <c r="AN105" s="5" t="str">
        <f>IF(Calc_Helper!S105="","Unknown",Calc_Helper!S105)</f>
        <v>N/A</v>
      </c>
      <c r="AO105" s="5">
        <f>IF(OR(Calc_Helper!S105="Healthy",Calc_Helper!S105="On Track"),1,0)</f>
        <v>0</v>
      </c>
      <c r="AP105" s="5" t="str">
        <f>IFERROR(IF(Calc_Helper!T105="","",Calc_Helper!T105),"")</f>
        <v/>
      </c>
      <c r="AQ105" s="5">
        <f>IF(Calc_Helper!T105=TRUE(),1,0)</f>
        <v>0</v>
      </c>
    </row>
    <row r="106" spans="1:43" x14ac:dyDescent="0.3">
      <c r="A106" s="2" t="str">
        <f>IF(Clean_Data!A106="","Unknown",Clean_Data!A106)</f>
        <v>TSK-0105</v>
      </c>
      <c r="B106" s="2" t="str">
        <f>IF(Clean_Data!B106="","Unknown",Clean_Data!B106)</f>
        <v>Website Redesign</v>
      </c>
      <c r="C106" s="2" t="str">
        <f>IF(Clean_Data!C106="","Unknown",Clean_Data!C106)</f>
        <v>HR</v>
      </c>
      <c r="D106" s="2" t="str">
        <f>IF(Clean_Data!D106="","Unknown",Clean_Data!D106)</f>
        <v>Priya Patel</v>
      </c>
      <c r="E106" s="2" t="str">
        <f>IF(Clean_Data!E106="","Unknown",Clean_Data!E106)</f>
        <v>Designer</v>
      </c>
      <c r="F106" s="2" t="str">
        <f>IF(Clean_Data!F106="","Unknown",Clean_Data!F106)</f>
        <v>High</v>
      </c>
      <c r="G106" s="2" t="str">
        <f>IF(Clean_Data!G106="","Unknown",Clean_Data!G106)</f>
        <v>Review</v>
      </c>
      <c r="H106" s="2" t="str">
        <f>IF(Clean_Data!K106="","Unknown",Clean_Data!K106)</f>
        <v>In Progress</v>
      </c>
      <c r="I106" s="10">
        <f>Clean_Data!H106</f>
        <v>45441</v>
      </c>
      <c r="J106" s="10">
        <f>Clean_Data!I106</f>
        <v>45462</v>
      </c>
      <c r="K106" s="10" t="str">
        <f>Clean_Data!J106</f>
        <v/>
      </c>
      <c r="L106" s="2" t="str">
        <f>IF(Calc_Helper!I106="","Unknown",Calc_Helper!I106)</f>
        <v>2024-06</v>
      </c>
      <c r="M106" s="2" t="str">
        <f>IF(Calc_Helper!J106="","Unknown",Calc_Helper!J106)</f>
        <v>2024-05</v>
      </c>
      <c r="N106" s="19" t="str">
        <f>IF(Calc_Helper!K106="","",Calc_Helper!K106)</f>
        <v/>
      </c>
      <c r="O106" s="2">
        <f>IFERROR(Calc_Helper!L106,"")</f>
        <v>2024</v>
      </c>
      <c r="P106" s="2">
        <f>IFERROR(Calc_Helper!M106,"")</f>
        <v>5</v>
      </c>
      <c r="Q106" s="2" t="str">
        <f>IF(Calc_Helper!N106="","Unknown",Calc_Helper!N106)</f>
        <v>May</v>
      </c>
      <c r="R106" s="15">
        <f>IFERROR(IF(ISNUMBER(Clean_Data!L106),Clean_Data!L106,0),0)</f>
        <v>0.25</v>
      </c>
      <c r="S106" s="16">
        <f>IFERROR(IF(ISNUMBER(Clean_Data!M106),Clean_Data!M106,0),0)</f>
        <v>73.7</v>
      </c>
      <c r="T106" s="16">
        <f>IF(Clean_Data!N106="","",IFERROR(IF(ISNUMBER(Clean_Data!N106),Clean_Data!N106,""),""))</f>
        <v>44.2</v>
      </c>
      <c r="U106" s="16">
        <f>IFERROR(IF(ISNUMBER(Clean_Data!O106),Clean_Data!O106,0),0)</f>
        <v>-29.5</v>
      </c>
      <c r="V106" s="2">
        <f ca="1">IFERROR(IF(ISNUMBER(Calc_Helper!E106),Calc_Helper!E106,0),0)</f>
        <v>685</v>
      </c>
      <c r="W106" s="2">
        <f ca="1">IFERROR(IF(ISNUMBER(Calc_Helper!F106),Calc_Helper!F106,0),0)</f>
        <v>664</v>
      </c>
      <c r="X106" s="2">
        <f>IFERROR(IF(ISNUMBER(Calc_Helper!G106),Calc_Helper!G106,0),0)</f>
        <v>0</v>
      </c>
      <c r="Y106" s="2">
        <f ca="1">IFERROR(IF(ISNUMBER(Calc_Helper!H106),Calc_Helper!H106,0),0)</f>
        <v>685</v>
      </c>
      <c r="Z106" s="19" t="b">
        <f>Calc_Helper!B106</f>
        <v>0</v>
      </c>
      <c r="AA106" s="2">
        <f>IF(Calc_Helper!B106=TRUE(),1,0)</f>
        <v>0</v>
      </c>
      <c r="AB106" s="19" t="b">
        <f>Calc_Helper!C106</f>
        <v>1</v>
      </c>
      <c r="AC106" s="2">
        <f>IF(Calc_Helper!C106=TRUE(),1,0)</f>
        <v>1</v>
      </c>
      <c r="AD106" s="19" t="b">
        <f ca="1">Calc_Helper!D106</f>
        <v>1</v>
      </c>
      <c r="AE106" s="2">
        <f ca="1">IF(Calc_Helper!D106=TRUE(),1,0)</f>
        <v>1</v>
      </c>
      <c r="AF106" s="19" t="b">
        <f ca="1">Calc_Helper!O106</f>
        <v>1</v>
      </c>
      <c r="AG106" s="2">
        <f ca="1">IF(Calc_Helper!O106=TRUE(),1,0)</f>
        <v>1</v>
      </c>
      <c r="AH106" s="19" t="b">
        <f>Calc_Helper!P106</f>
        <v>1</v>
      </c>
      <c r="AI106" s="2">
        <f>IF(Calc_Helper!P106=TRUE(),1,0)</f>
        <v>1</v>
      </c>
      <c r="AJ106" s="19" t="b">
        <f ca="1">Calc_Helper!Q106</f>
        <v>1</v>
      </c>
      <c r="AK106" s="2">
        <f ca="1">IF(Calc_Helper!Q106=TRUE(),1,0)</f>
        <v>1</v>
      </c>
      <c r="AL106" s="19" t="b">
        <f ca="1">Calc_Helper!R106</f>
        <v>1</v>
      </c>
      <c r="AM106" s="2">
        <f ca="1">IF(Calc_Helper!R106=TRUE(),1,0)</f>
        <v>1</v>
      </c>
      <c r="AN106" s="2" t="str">
        <f>IF(Calc_Helper!S106="","Unknown",Calc_Helper!S106)</f>
        <v>Slow</v>
      </c>
      <c r="AO106" s="2">
        <f>IF(OR(Calc_Helper!S106="Healthy",Calc_Helper!S106="On Track"),1,0)</f>
        <v>0</v>
      </c>
      <c r="AP106" s="2" t="str">
        <f>IFERROR(IF(Calc_Helper!T106="","",Calc_Helper!T106),"")</f>
        <v/>
      </c>
      <c r="AQ106" s="2">
        <f>IF(Calc_Helper!T106=TRUE(),1,0)</f>
        <v>0</v>
      </c>
    </row>
    <row r="107" spans="1:43" x14ac:dyDescent="0.3">
      <c r="A107" s="5" t="str">
        <f>IF(Clean_Data!A107="","Unknown",Clean_Data!A107)</f>
        <v>TSK-0106</v>
      </c>
      <c r="B107" s="5" t="str">
        <f>IF(Clean_Data!B107="","Unknown",Clean_Data!B107)</f>
        <v>Annual Audit</v>
      </c>
      <c r="C107" s="5" t="str">
        <f>IF(Clean_Data!C107="","Unknown",Clean_Data!C107)</f>
        <v>IT</v>
      </c>
      <c r="D107" s="5" t="str">
        <f>IF(Clean_Data!D107="","Unknown",Clean_Data!D107)</f>
        <v>Vikram Singh</v>
      </c>
      <c r="E107" s="5" t="str">
        <f>IF(Clean_Data!E107="","Unknown",Clean_Data!E107)</f>
        <v>Tester</v>
      </c>
      <c r="F107" s="5" t="str">
        <f>IF(Clean_Data!F107="","Unknown",Clean_Data!F107)</f>
        <v>Low</v>
      </c>
      <c r="G107" s="5" t="str">
        <f>IF(Clean_Data!G107="","Unknown",Clean_Data!G107)</f>
        <v>Planning</v>
      </c>
      <c r="H107" s="5" t="str">
        <f>IF(Clean_Data!K107="","Unknown",Clean_Data!K107)</f>
        <v>Cancelled</v>
      </c>
      <c r="I107" s="13">
        <f>Clean_Data!H107</f>
        <v>45361</v>
      </c>
      <c r="J107" s="13">
        <f>Clean_Data!I107</f>
        <v>45408</v>
      </c>
      <c r="K107" s="13" t="str">
        <f>Clean_Data!J107</f>
        <v/>
      </c>
      <c r="L107" s="5" t="str">
        <f>IF(Calc_Helper!I107="","Unknown",Calc_Helper!I107)</f>
        <v>2024-04</v>
      </c>
      <c r="M107" s="5" t="str">
        <f>IF(Calc_Helper!J107="","Unknown",Calc_Helper!J107)</f>
        <v>2024-03</v>
      </c>
      <c r="N107" s="19" t="str">
        <f>IF(Calc_Helper!K107="","",Calc_Helper!K107)</f>
        <v/>
      </c>
      <c r="O107" s="5">
        <f>IFERROR(Calc_Helper!L107,"")</f>
        <v>2024</v>
      </c>
      <c r="P107" s="5">
        <f>IFERROR(Calc_Helper!M107,"")</f>
        <v>3</v>
      </c>
      <c r="Q107" s="5" t="str">
        <f>IF(Calc_Helper!N107="","Unknown",Calc_Helper!N107)</f>
        <v>March</v>
      </c>
      <c r="R107" s="17">
        <f>IFERROR(IF(ISNUMBER(Clean_Data!L107),Clean_Data!L107,0),0)</f>
        <v>0</v>
      </c>
      <c r="S107" s="18">
        <f>IFERROR(IF(ISNUMBER(Clean_Data!M107),Clean_Data!M107,0),0)</f>
        <v>53.1</v>
      </c>
      <c r="T107" s="16">
        <f>IF(Clean_Data!N107="","",IFERROR(IF(ISNUMBER(Clean_Data!N107),Clean_Data!N107,""),""))</f>
        <v>0</v>
      </c>
      <c r="U107" s="18">
        <f>IFERROR(IF(ISNUMBER(Clean_Data!O107),Clean_Data!O107,0),0)</f>
        <v>-53.1</v>
      </c>
      <c r="V107" s="5">
        <f ca="1">IFERROR(IF(ISNUMBER(Calc_Helper!E107),Calc_Helper!E107,0),0)</f>
        <v>0</v>
      </c>
      <c r="W107" s="5">
        <f ca="1">IFERROR(IF(ISNUMBER(Calc_Helper!F107),Calc_Helper!F107,0),0)</f>
        <v>0</v>
      </c>
      <c r="X107" s="5">
        <f>IFERROR(IF(ISNUMBER(Calc_Helper!G107),Calc_Helper!G107,0),0)</f>
        <v>0</v>
      </c>
      <c r="Y107" s="5">
        <f ca="1">IFERROR(IF(ISNUMBER(Calc_Helper!H107),Calc_Helper!H107,0),0)</f>
        <v>765</v>
      </c>
      <c r="Z107" s="20" t="b">
        <f>Calc_Helper!B107</f>
        <v>0</v>
      </c>
      <c r="AA107" s="5">
        <f>IF(Calc_Helper!B107=TRUE(),1,0)</f>
        <v>0</v>
      </c>
      <c r="AB107" s="20" t="b">
        <f>Calc_Helper!C107</f>
        <v>0</v>
      </c>
      <c r="AC107" s="5">
        <f>IF(Calc_Helper!C107=TRUE(),1,0)</f>
        <v>0</v>
      </c>
      <c r="AD107" s="20" t="b">
        <f ca="1">Calc_Helper!D107</f>
        <v>0</v>
      </c>
      <c r="AE107" s="5">
        <f ca="1">IF(Calc_Helper!D107=TRUE(),1,0)</f>
        <v>0</v>
      </c>
      <c r="AF107" s="20" t="b">
        <f ca="1">Calc_Helper!O107</f>
        <v>0</v>
      </c>
      <c r="AG107" s="5">
        <f ca="1">IF(Calc_Helper!O107=TRUE(),1,0)</f>
        <v>0</v>
      </c>
      <c r="AH107" s="20" t="b">
        <f>Calc_Helper!P107</f>
        <v>0</v>
      </c>
      <c r="AI107" s="5">
        <f>IF(Calc_Helper!P107=TRUE(),1,0)</f>
        <v>0</v>
      </c>
      <c r="AJ107" s="20" t="b">
        <f ca="1">Calc_Helper!Q107</f>
        <v>0</v>
      </c>
      <c r="AK107" s="5">
        <f ca="1">IF(Calc_Helper!Q107=TRUE(),1,0)</f>
        <v>0</v>
      </c>
      <c r="AL107" s="20" t="b">
        <f ca="1">Calc_Helper!R107</f>
        <v>0</v>
      </c>
      <c r="AM107" s="5">
        <f ca="1">IF(Calc_Helper!R107=TRUE(),1,0)</f>
        <v>0</v>
      </c>
      <c r="AN107" s="5" t="str">
        <f>IF(Calc_Helper!S107="","Unknown",Calc_Helper!S107)</f>
        <v>N/A</v>
      </c>
      <c r="AO107" s="5">
        <f>IF(OR(Calc_Helper!S107="Healthy",Calc_Helper!S107="On Track"),1,0)</f>
        <v>0</v>
      </c>
      <c r="AP107" s="5" t="str">
        <f>IFERROR(IF(Calc_Helper!T107="","",Calc_Helper!T107),"")</f>
        <v/>
      </c>
      <c r="AQ107" s="5">
        <f>IF(Calc_Helper!T107=TRUE(),1,0)</f>
        <v>0</v>
      </c>
    </row>
    <row r="108" spans="1:43" x14ac:dyDescent="0.3">
      <c r="A108" s="2" t="str">
        <f>IF(Clean_Data!A108="","Unknown",Clean_Data!A108)</f>
        <v>TSK-0107</v>
      </c>
      <c r="B108" s="2" t="str">
        <f>IF(Clean_Data!B108="","Unknown",Clean_Data!B108)</f>
        <v>Website Redesign</v>
      </c>
      <c r="C108" s="2" t="str">
        <f>IF(Clean_Data!C108="","Unknown",Clean_Data!C108)</f>
        <v>Operations</v>
      </c>
      <c r="D108" s="2" t="str">
        <f>IF(Clean_Data!D108="","Unknown",Clean_Data!D108)</f>
        <v>Vikram Singh</v>
      </c>
      <c r="E108" s="2" t="str">
        <f>IF(Clean_Data!E108="","Unknown",Clean_Data!E108)</f>
        <v>Developer</v>
      </c>
      <c r="F108" s="2" t="str">
        <f>IF(Clean_Data!F108="","Unknown",Clean_Data!F108)</f>
        <v>High</v>
      </c>
      <c r="G108" s="2" t="str">
        <f>IF(Clean_Data!G108="","Unknown",Clean_Data!G108)</f>
        <v>Planning</v>
      </c>
      <c r="H108" s="2" t="str">
        <f>IF(Clean_Data!K108="","Unknown",Clean_Data!K108)</f>
        <v>In Progress</v>
      </c>
      <c r="I108" s="10">
        <f>Clean_Data!H108</f>
        <v>45688</v>
      </c>
      <c r="J108" s="10">
        <f>Clean_Data!I108</f>
        <v>45724</v>
      </c>
      <c r="K108" s="10" t="str">
        <f>Clean_Data!J108</f>
        <v/>
      </c>
      <c r="L108" s="2" t="str">
        <f>IF(Calc_Helper!I108="","Unknown",Calc_Helper!I108)</f>
        <v>2025-03</v>
      </c>
      <c r="M108" s="2" t="str">
        <f>IF(Calc_Helper!J108="","Unknown",Calc_Helper!J108)</f>
        <v>2025-01</v>
      </c>
      <c r="N108" s="19" t="str">
        <f>IF(Calc_Helper!K108="","",Calc_Helper!K108)</f>
        <v/>
      </c>
      <c r="O108" s="2">
        <f>IFERROR(Calc_Helper!L108,"")</f>
        <v>2025</v>
      </c>
      <c r="P108" s="2">
        <f>IFERROR(Calc_Helper!M108,"")</f>
        <v>1</v>
      </c>
      <c r="Q108" s="2" t="str">
        <f>IF(Calc_Helper!N108="","Unknown",Calc_Helper!N108)</f>
        <v>January</v>
      </c>
      <c r="R108" s="15">
        <f>IFERROR(IF(ISNUMBER(Clean_Data!L108),Clean_Data!L108,0),0)</f>
        <v>0.38</v>
      </c>
      <c r="S108" s="16">
        <f>IFERROR(IF(ISNUMBER(Clean_Data!M108),Clean_Data!M108,0),0)</f>
        <v>26.5</v>
      </c>
      <c r="T108" s="16">
        <f>IF(Clean_Data!N108="","",IFERROR(IF(ISNUMBER(Clean_Data!N108),Clean_Data!N108,""),""))</f>
        <v>13.1</v>
      </c>
      <c r="U108" s="16">
        <f>IFERROR(IF(ISNUMBER(Clean_Data!O108),Clean_Data!O108,0),0)</f>
        <v>-13.4</v>
      </c>
      <c r="V108" s="2">
        <f ca="1">IFERROR(IF(ISNUMBER(Calc_Helper!E108),Calc_Helper!E108,0),0)</f>
        <v>438</v>
      </c>
      <c r="W108" s="2">
        <f ca="1">IFERROR(IF(ISNUMBER(Calc_Helper!F108),Calc_Helper!F108,0),0)</f>
        <v>402</v>
      </c>
      <c r="X108" s="2">
        <f>IFERROR(IF(ISNUMBER(Calc_Helper!G108),Calc_Helper!G108,0),0)</f>
        <v>0</v>
      </c>
      <c r="Y108" s="2">
        <f ca="1">IFERROR(IF(ISNUMBER(Calc_Helper!H108),Calc_Helper!H108,0),0)</f>
        <v>438</v>
      </c>
      <c r="Z108" s="19" t="b">
        <f>Calc_Helper!B108</f>
        <v>0</v>
      </c>
      <c r="AA108" s="2">
        <f>IF(Calc_Helper!B108=TRUE(),1,0)</f>
        <v>0</v>
      </c>
      <c r="AB108" s="19" t="b">
        <f>Calc_Helper!C108</f>
        <v>1</v>
      </c>
      <c r="AC108" s="2">
        <f>IF(Calc_Helper!C108=TRUE(),1,0)</f>
        <v>1</v>
      </c>
      <c r="AD108" s="19" t="b">
        <f ca="1">Calc_Helper!D108</f>
        <v>1</v>
      </c>
      <c r="AE108" s="2">
        <f ca="1">IF(Calc_Helper!D108=TRUE(),1,0)</f>
        <v>1</v>
      </c>
      <c r="AF108" s="19" t="b">
        <f ca="1">Calc_Helper!O108</f>
        <v>1</v>
      </c>
      <c r="AG108" s="2">
        <f ca="1">IF(Calc_Helper!O108=TRUE(),1,0)</f>
        <v>1</v>
      </c>
      <c r="AH108" s="19" t="b">
        <f>Calc_Helper!P108</f>
        <v>1</v>
      </c>
      <c r="AI108" s="2">
        <f>IF(Calc_Helper!P108=TRUE(),1,0)</f>
        <v>1</v>
      </c>
      <c r="AJ108" s="19" t="b">
        <f ca="1">Calc_Helper!Q108</f>
        <v>1</v>
      </c>
      <c r="AK108" s="2">
        <f ca="1">IF(Calc_Helper!Q108=TRUE(),1,0)</f>
        <v>1</v>
      </c>
      <c r="AL108" s="19" t="b">
        <f ca="1">Calc_Helper!R108</f>
        <v>1</v>
      </c>
      <c r="AM108" s="2">
        <f ca="1">IF(Calc_Helper!R108=TRUE(),1,0)</f>
        <v>1</v>
      </c>
      <c r="AN108" s="2" t="str">
        <f>IF(Calc_Helper!S108="","Unknown",Calc_Helper!S108)</f>
        <v>Slow</v>
      </c>
      <c r="AO108" s="2">
        <f>IF(OR(Calc_Helper!S108="Healthy",Calc_Helper!S108="On Track"),1,0)</f>
        <v>0</v>
      </c>
      <c r="AP108" s="2" t="str">
        <f>IFERROR(IF(Calc_Helper!T108="","",Calc_Helper!T108),"")</f>
        <v/>
      </c>
      <c r="AQ108" s="2">
        <f>IF(Calc_Helper!T108=TRUE(),1,0)</f>
        <v>0</v>
      </c>
    </row>
    <row r="109" spans="1:43" x14ac:dyDescent="0.3">
      <c r="A109" s="5" t="str">
        <f>IF(Clean_Data!A109="","Unknown",Clean_Data!A109)</f>
        <v>TSK-0108</v>
      </c>
      <c r="B109" s="5" t="str">
        <f>IF(Clean_Data!B109="","Unknown",Clean_Data!B109)</f>
        <v>Website Redesign</v>
      </c>
      <c r="C109" s="5" t="str">
        <f>IF(Clean_Data!C109="","Unknown",Clean_Data!C109)</f>
        <v>HR</v>
      </c>
      <c r="D109" s="5" t="str">
        <f>IF(Clean_Data!D109="","Unknown",Clean_Data!D109)</f>
        <v>Karan Malhotra</v>
      </c>
      <c r="E109" s="5" t="str">
        <f>IF(Clean_Data!E109="","Unknown",Clean_Data!E109)</f>
        <v>Developer</v>
      </c>
      <c r="F109" s="5" t="str">
        <f>IF(Clean_Data!F109="","Unknown",Clean_Data!F109)</f>
        <v>Low</v>
      </c>
      <c r="G109" s="5" t="str">
        <f>IF(Clean_Data!G109="","Unknown",Clean_Data!G109)</f>
        <v>Review</v>
      </c>
      <c r="H109" s="5" t="str">
        <f>IF(Clean_Data!K109="","Unknown",Clean_Data!K109)</f>
        <v>In Progress</v>
      </c>
      <c r="I109" s="13">
        <f>Clean_Data!H109</f>
        <v>45374</v>
      </c>
      <c r="J109" s="13">
        <f>Clean_Data!I109</f>
        <v>45389</v>
      </c>
      <c r="K109" s="13" t="str">
        <f>Clean_Data!J109</f>
        <v/>
      </c>
      <c r="L109" s="5" t="str">
        <f>IF(Calc_Helper!I109="","Unknown",Calc_Helper!I109)</f>
        <v>2024-04</v>
      </c>
      <c r="M109" s="5" t="str">
        <f>IF(Calc_Helper!J109="","Unknown",Calc_Helper!J109)</f>
        <v>2024-03</v>
      </c>
      <c r="N109" s="19" t="str">
        <f>IF(Calc_Helper!K109="","",Calc_Helper!K109)</f>
        <v/>
      </c>
      <c r="O109" s="5">
        <f>IFERROR(Calc_Helper!L109,"")</f>
        <v>2024</v>
      </c>
      <c r="P109" s="5">
        <f>IFERROR(Calc_Helper!M109,"")</f>
        <v>3</v>
      </c>
      <c r="Q109" s="5" t="str">
        <f>IF(Calc_Helper!N109="","Unknown",Calc_Helper!N109)</f>
        <v>March</v>
      </c>
      <c r="R109" s="17">
        <f>IFERROR(IF(ISNUMBER(Clean_Data!L109),Clean_Data!L109,0),0)</f>
        <v>0</v>
      </c>
      <c r="S109" s="18">
        <f>IFERROR(IF(ISNUMBER(Clean_Data!M109),Clean_Data!M109,0),0)</f>
        <v>7.3</v>
      </c>
      <c r="T109" s="16">
        <f>IF(Clean_Data!N109="","",IFERROR(IF(ISNUMBER(Clean_Data!N109),Clean_Data!N109,""),""))</f>
        <v>5.3</v>
      </c>
      <c r="U109" s="18">
        <f>IFERROR(IF(ISNUMBER(Clean_Data!O109),Clean_Data!O109,0),0)</f>
        <v>-2</v>
      </c>
      <c r="V109" s="5">
        <f ca="1">IFERROR(IF(ISNUMBER(Calc_Helper!E109),Calc_Helper!E109,0),0)</f>
        <v>752</v>
      </c>
      <c r="W109" s="5">
        <f ca="1">IFERROR(IF(ISNUMBER(Calc_Helper!F109),Calc_Helper!F109,0),0)</f>
        <v>737</v>
      </c>
      <c r="X109" s="5">
        <f>IFERROR(IF(ISNUMBER(Calc_Helper!G109),Calc_Helper!G109,0),0)</f>
        <v>0</v>
      </c>
      <c r="Y109" s="5">
        <f ca="1">IFERROR(IF(ISNUMBER(Calc_Helper!H109),Calc_Helper!H109,0),0)</f>
        <v>752</v>
      </c>
      <c r="Z109" s="20" t="b">
        <f>Calc_Helper!B109</f>
        <v>0</v>
      </c>
      <c r="AA109" s="5">
        <f>IF(Calc_Helper!B109=TRUE(),1,0)</f>
        <v>0</v>
      </c>
      <c r="AB109" s="20" t="b">
        <f>Calc_Helper!C109</f>
        <v>1</v>
      </c>
      <c r="AC109" s="5">
        <f>IF(Calc_Helper!C109=TRUE(),1,0)</f>
        <v>1</v>
      </c>
      <c r="AD109" s="20" t="b">
        <f ca="1">Calc_Helper!D109</f>
        <v>1</v>
      </c>
      <c r="AE109" s="5">
        <f ca="1">IF(Calc_Helper!D109=TRUE(),1,0)</f>
        <v>1</v>
      </c>
      <c r="AF109" s="20" t="b">
        <f ca="1">Calc_Helper!O109</f>
        <v>1</v>
      </c>
      <c r="AG109" s="5">
        <f ca="1">IF(Calc_Helper!O109=TRUE(),1,0)</f>
        <v>1</v>
      </c>
      <c r="AH109" s="20" t="b">
        <f>Calc_Helper!P109</f>
        <v>0</v>
      </c>
      <c r="AI109" s="5">
        <f>IF(Calc_Helper!P109=TRUE(),1,0)</f>
        <v>0</v>
      </c>
      <c r="AJ109" s="20" t="b">
        <f ca="1">Calc_Helper!Q109</f>
        <v>0</v>
      </c>
      <c r="AK109" s="5">
        <f ca="1">IF(Calc_Helper!Q109=TRUE(),1,0)</f>
        <v>0</v>
      </c>
      <c r="AL109" s="20" t="b">
        <f ca="1">Calc_Helper!R109</f>
        <v>1</v>
      </c>
      <c r="AM109" s="5">
        <f ca="1">IF(Calc_Helper!R109=TRUE(),1,0)</f>
        <v>1</v>
      </c>
      <c r="AN109" s="5" t="str">
        <f>IF(Calc_Helper!S109="","Unknown",Calc_Helper!S109)</f>
        <v>N/A</v>
      </c>
      <c r="AO109" s="5">
        <f>IF(OR(Calc_Helper!S109="Healthy",Calc_Helper!S109="On Track"),1,0)</f>
        <v>0</v>
      </c>
      <c r="AP109" s="5" t="str">
        <f>IFERROR(IF(Calc_Helper!T109="","",Calc_Helper!T109),"")</f>
        <v/>
      </c>
      <c r="AQ109" s="5">
        <f>IF(Calc_Helper!T109=TRUE(),1,0)</f>
        <v>0</v>
      </c>
    </row>
    <row r="110" spans="1:43" x14ac:dyDescent="0.3">
      <c r="A110" s="2" t="str">
        <f>IF(Clean_Data!A110="","Unknown",Clean_Data!A110)</f>
        <v>TSK-0109</v>
      </c>
      <c r="B110" s="2" t="str">
        <f>IF(Clean_Data!B110="","Unknown",Clean_Data!B110)</f>
        <v>Employee Onboarding</v>
      </c>
      <c r="C110" s="2" t="str">
        <f>IF(Clean_Data!C110="","Unknown",Clean_Data!C110)</f>
        <v>Sales</v>
      </c>
      <c r="D110" s="2" t="str">
        <f>IF(Clean_Data!D110="","Unknown",Clean_Data!D110)</f>
        <v>Sneha Gupta</v>
      </c>
      <c r="E110" s="2" t="str">
        <f>IF(Clean_Data!E110="","Unknown",Clean_Data!E110)</f>
        <v>Manager</v>
      </c>
      <c r="F110" s="2" t="str">
        <f>IF(Clean_Data!F110="","Unknown",Clean_Data!F110)</f>
        <v>Medium</v>
      </c>
      <c r="G110" s="2" t="str">
        <f>IF(Clean_Data!G110="","Unknown",Clean_Data!G110)</f>
        <v>Deployment</v>
      </c>
      <c r="H110" s="2" t="str">
        <f>IF(Clean_Data!K110="","Unknown",Clean_Data!K110)</f>
        <v>On Hold</v>
      </c>
      <c r="I110" s="10">
        <f>Clean_Data!H110</f>
        <v>45395</v>
      </c>
      <c r="J110" s="10">
        <f>Clean_Data!I110</f>
        <v>45423</v>
      </c>
      <c r="K110" s="10" t="str">
        <f>Clean_Data!J110</f>
        <v/>
      </c>
      <c r="L110" s="2" t="str">
        <f>IF(Calc_Helper!I110="","Unknown",Calc_Helper!I110)</f>
        <v>2024-05</v>
      </c>
      <c r="M110" s="2" t="str">
        <f>IF(Calc_Helper!J110="","Unknown",Calc_Helper!J110)</f>
        <v>2024-04</v>
      </c>
      <c r="N110" s="19" t="str">
        <f>IF(Calc_Helper!K110="","",Calc_Helper!K110)</f>
        <v/>
      </c>
      <c r="O110" s="2">
        <f>IFERROR(Calc_Helper!L110,"")</f>
        <v>2024</v>
      </c>
      <c r="P110" s="2">
        <f>IFERROR(Calc_Helper!M110,"")</f>
        <v>4</v>
      </c>
      <c r="Q110" s="2" t="str">
        <f>IF(Calc_Helper!N110="","Unknown",Calc_Helper!N110)</f>
        <v>April</v>
      </c>
      <c r="R110" s="15">
        <f>IFERROR(IF(ISNUMBER(Clean_Data!L110),Clean_Data!L110,0),0)</f>
        <v>0</v>
      </c>
      <c r="S110" s="16">
        <f>IFERROR(IF(ISNUMBER(Clean_Data!M110),Clean_Data!M110,0),0)</f>
        <v>63.1</v>
      </c>
      <c r="T110" s="16" t="str">
        <f>IF(Clean_Data!N110="","",IFERROR(IF(ISNUMBER(Clean_Data!N110),Clean_Data!N110,""),""))</f>
        <v/>
      </c>
      <c r="U110" s="16">
        <f>IFERROR(IF(ISNUMBER(Clean_Data!O110),Clean_Data!O110,0),0)</f>
        <v>0</v>
      </c>
      <c r="V110" s="2">
        <f ca="1">IFERROR(IF(ISNUMBER(Calc_Helper!E110),Calc_Helper!E110,0),0)</f>
        <v>731</v>
      </c>
      <c r="W110" s="2">
        <f ca="1">IFERROR(IF(ISNUMBER(Calc_Helper!F110),Calc_Helper!F110,0),0)</f>
        <v>703</v>
      </c>
      <c r="X110" s="2">
        <f>IFERROR(IF(ISNUMBER(Calc_Helper!G110),Calc_Helper!G110,0),0)</f>
        <v>0</v>
      </c>
      <c r="Y110" s="2">
        <f ca="1">IFERROR(IF(ISNUMBER(Calc_Helper!H110),Calc_Helper!H110,0),0)</f>
        <v>731</v>
      </c>
      <c r="Z110" s="19" t="b">
        <f>Calc_Helper!B110</f>
        <v>0</v>
      </c>
      <c r="AA110" s="2">
        <f>IF(Calc_Helper!B110=TRUE(),1,0)</f>
        <v>0</v>
      </c>
      <c r="AB110" s="19" t="b">
        <f>Calc_Helper!C110</f>
        <v>1</v>
      </c>
      <c r="AC110" s="2">
        <f>IF(Calc_Helper!C110=TRUE(),1,0)</f>
        <v>1</v>
      </c>
      <c r="AD110" s="19" t="b">
        <f ca="1">Calc_Helper!D110</f>
        <v>1</v>
      </c>
      <c r="AE110" s="2">
        <f ca="1">IF(Calc_Helper!D110=TRUE(),1,0)</f>
        <v>1</v>
      </c>
      <c r="AF110" s="19" t="b">
        <f ca="1">Calc_Helper!O110</f>
        <v>1</v>
      </c>
      <c r="AG110" s="2">
        <f ca="1">IF(Calc_Helper!O110=TRUE(),1,0)</f>
        <v>1</v>
      </c>
      <c r="AH110" s="19" t="b">
        <f>Calc_Helper!P110</f>
        <v>0</v>
      </c>
      <c r="AI110" s="2">
        <f>IF(Calc_Helper!P110=TRUE(),1,0)</f>
        <v>0</v>
      </c>
      <c r="AJ110" s="19" t="b">
        <f ca="1">Calc_Helper!Q110</f>
        <v>0</v>
      </c>
      <c r="AK110" s="2">
        <f ca="1">IF(Calc_Helper!Q110=TRUE(),1,0)</f>
        <v>0</v>
      </c>
      <c r="AL110" s="19" t="b">
        <f ca="1">Calc_Helper!R110</f>
        <v>0</v>
      </c>
      <c r="AM110" s="2">
        <f ca="1">IF(Calc_Helper!R110=TRUE(),1,0)</f>
        <v>0</v>
      </c>
      <c r="AN110" s="2" t="str">
        <f>IF(Calc_Helper!S110="","Unknown",Calc_Helper!S110)</f>
        <v>N/A</v>
      </c>
      <c r="AO110" s="2">
        <f>IF(OR(Calc_Helper!S110="Healthy",Calc_Helper!S110="On Track"),1,0)</f>
        <v>0</v>
      </c>
      <c r="AP110" s="2" t="str">
        <f>IFERROR(IF(Calc_Helper!T110="","",Calc_Helper!T110),"")</f>
        <v/>
      </c>
      <c r="AQ110" s="2">
        <f>IF(Calc_Helper!T110=TRUE(),1,0)</f>
        <v>0</v>
      </c>
    </row>
    <row r="111" spans="1:43" x14ac:dyDescent="0.3">
      <c r="A111" s="5" t="str">
        <f>IF(Clean_Data!A111="","Unknown",Clean_Data!A111)</f>
        <v>TSK-0110</v>
      </c>
      <c r="B111" s="5" t="str">
        <f>IF(Clean_Data!B111="","Unknown",Clean_Data!B111)</f>
        <v>Annual Audit</v>
      </c>
      <c r="C111" s="5" t="str">
        <f>IF(Clean_Data!C111="","Unknown",Clean_Data!C111)</f>
        <v>Marketing</v>
      </c>
      <c r="D111" s="5" t="str">
        <f>IF(Clean_Data!D111="","Unknown",Clean_Data!D111)</f>
        <v>Sanjay Kulkarni</v>
      </c>
      <c r="E111" s="5" t="str">
        <f>IF(Clean_Data!E111="","Unknown",Clean_Data!E111)</f>
        <v>Developer</v>
      </c>
      <c r="F111" s="5" t="str">
        <f>IF(Clean_Data!F111="","Unknown",Clean_Data!F111)</f>
        <v>Critical</v>
      </c>
      <c r="G111" s="5" t="str">
        <f>IF(Clean_Data!G111="","Unknown",Clean_Data!G111)</f>
        <v>Research</v>
      </c>
      <c r="H111" s="5" t="str">
        <f>IF(Clean_Data!K111="","Unknown",Clean_Data!K111)</f>
        <v>Cancelled</v>
      </c>
      <c r="I111" s="13">
        <f>Clean_Data!H111</f>
        <v>45322</v>
      </c>
      <c r="J111" s="13">
        <f>Clean_Data!I111</f>
        <v>45368</v>
      </c>
      <c r="K111" s="13" t="str">
        <f>Clean_Data!J111</f>
        <v/>
      </c>
      <c r="L111" s="5" t="str">
        <f>IF(Calc_Helper!I111="","Unknown",Calc_Helper!I111)</f>
        <v>2024-03</v>
      </c>
      <c r="M111" s="5" t="str">
        <f>IF(Calc_Helper!J111="","Unknown",Calc_Helper!J111)</f>
        <v>2024-01</v>
      </c>
      <c r="N111" s="19" t="str">
        <f>IF(Calc_Helper!K111="","",Calc_Helper!K111)</f>
        <v/>
      </c>
      <c r="O111" s="5">
        <f>IFERROR(Calc_Helper!L111,"")</f>
        <v>2024</v>
      </c>
      <c r="P111" s="5">
        <f>IFERROR(Calc_Helper!M111,"")</f>
        <v>1</v>
      </c>
      <c r="Q111" s="5" t="str">
        <f>IF(Calc_Helper!N111="","Unknown",Calc_Helper!N111)</f>
        <v>January</v>
      </c>
      <c r="R111" s="17">
        <f>IFERROR(IF(ISNUMBER(Clean_Data!L111),Clean_Data!L111,0),0)</f>
        <v>0</v>
      </c>
      <c r="S111" s="18">
        <f>IFERROR(IF(ISNUMBER(Clean_Data!M111),Clean_Data!M111,0),0)</f>
        <v>46.1</v>
      </c>
      <c r="T111" s="16" t="str">
        <f>IF(Clean_Data!N111="","",IFERROR(IF(ISNUMBER(Clean_Data!N111),Clean_Data!N111,""),""))</f>
        <v/>
      </c>
      <c r="U111" s="18">
        <f>IFERROR(IF(ISNUMBER(Clean_Data!O111),Clean_Data!O111,0),0)</f>
        <v>0</v>
      </c>
      <c r="V111" s="5">
        <f ca="1">IFERROR(IF(ISNUMBER(Calc_Helper!E111),Calc_Helper!E111,0),0)</f>
        <v>0</v>
      </c>
      <c r="W111" s="5">
        <f ca="1">IFERROR(IF(ISNUMBER(Calc_Helper!F111),Calc_Helper!F111,0),0)</f>
        <v>0</v>
      </c>
      <c r="X111" s="5">
        <f>IFERROR(IF(ISNUMBER(Calc_Helper!G111),Calc_Helper!G111,0),0)</f>
        <v>0</v>
      </c>
      <c r="Y111" s="5">
        <f ca="1">IFERROR(IF(ISNUMBER(Calc_Helper!H111),Calc_Helper!H111,0),0)</f>
        <v>804</v>
      </c>
      <c r="Z111" s="20" t="b">
        <f>Calc_Helper!B111</f>
        <v>0</v>
      </c>
      <c r="AA111" s="5">
        <f>IF(Calc_Helper!B111=TRUE(),1,0)</f>
        <v>0</v>
      </c>
      <c r="AB111" s="20" t="b">
        <f>Calc_Helper!C111</f>
        <v>0</v>
      </c>
      <c r="AC111" s="5">
        <f>IF(Calc_Helper!C111=TRUE(),1,0)</f>
        <v>0</v>
      </c>
      <c r="AD111" s="20" t="b">
        <f ca="1">Calc_Helper!D111</f>
        <v>0</v>
      </c>
      <c r="AE111" s="5">
        <f ca="1">IF(Calc_Helper!D111=TRUE(),1,0)</f>
        <v>0</v>
      </c>
      <c r="AF111" s="20" t="b">
        <f ca="1">Calc_Helper!O111</f>
        <v>0</v>
      </c>
      <c r="AG111" s="5">
        <f ca="1">IF(Calc_Helper!O111=TRUE(),1,0)</f>
        <v>0</v>
      </c>
      <c r="AH111" s="20" t="b">
        <f>Calc_Helper!P111</f>
        <v>0</v>
      </c>
      <c r="AI111" s="5">
        <f>IF(Calc_Helper!P111=TRUE(),1,0)</f>
        <v>0</v>
      </c>
      <c r="AJ111" s="20" t="b">
        <f ca="1">Calc_Helper!Q111</f>
        <v>0</v>
      </c>
      <c r="AK111" s="5">
        <f ca="1">IF(Calc_Helper!Q111=TRUE(),1,0)</f>
        <v>0</v>
      </c>
      <c r="AL111" s="20" t="b">
        <f ca="1">Calc_Helper!R111</f>
        <v>0</v>
      </c>
      <c r="AM111" s="5">
        <f ca="1">IF(Calc_Helper!R111=TRUE(),1,0)</f>
        <v>0</v>
      </c>
      <c r="AN111" s="5" t="str">
        <f>IF(Calc_Helper!S111="","Unknown",Calc_Helper!S111)</f>
        <v>N/A</v>
      </c>
      <c r="AO111" s="5">
        <f>IF(OR(Calc_Helper!S111="Healthy",Calc_Helper!S111="On Track"),1,0)</f>
        <v>0</v>
      </c>
      <c r="AP111" s="5" t="str">
        <f>IFERROR(IF(Calc_Helper!T111="","",Calc_Helper!T111),"")</f>
        <v/>
      </c>
      <c r="AQ111" s="5">
        <f>IF(Calc_Helper!T111=TRUE(),1,0)</f>
        <v>0</v>
      </c>
    </row>
    <row r="112" spans="1:43" x14ac:dyDescent="0.3">
      <c r="A112" s="2" t="str">
        <f>IF(Clean_Data!A112="","Unknown",Clean_Data!A112)</f>
        <v>TSK-0111</v>
      </c>
      <c r="B112" s="2" t="str">
        <f>IF(Clean_Data!B112="","Unknown",Clean_Data!B112)</f>
        <v>CRM Migration</v>
      </c>
      <c r="C112" s="2" t="str">
        <f>IF(Clean_Data!C112="","Unknown",Clean_Data!C112)</f>
        <v>HR</v>
      </c>
      <c r="D112" s="2" t="str">
        <f>IF(Clean_Data!D112="","Unknown",Clean_Data!D112)</f>
        <v>Priya Patel</v>
      </c>
      <c r="E112" s="2" t="str">
        <f>IF(Clean_Data!E112="","Unknown",Clean_Data!E112)</f>
        <v>Developer</v>
      </c>
      <c r="F112" s="2" t="str">
        <f>IF(Clean_Data!F112="","Unknown",Clean_Data!F112)</f>
        <v>Medium</v>
      </c>
      <c r="G112" s="2" t="str">
        <f>IF(Clean_Data!G112="","Unknown",Clean_Data!G112)</f>
        <v>Documentation</v>
      </c>
      <c r="H112" s="2" t="str">
        <f>IF(Clean_Data!K112="","Unknown",Clean_Data!K112)</f>
        <v>On Hold</v>
      </c>
      <c r="I112" s="10">
        <f>Clean_Data!H112</f>
        <v>45558</v>
      </c>
      <c r="J112" s="10">
        <f>Clean_Data!I112</f>
        <v>45572</v>
      </c>
      <c r="K112" s="10" t="str">
        <f>Clean_Data!J112</f>
        <v/>
      </c>
      <c r="L112" s="2" t="str">
        <f>IF(Calc_Helper!I112="","Unknown",Calc_Helper!I112)</f>
        <v>2024-10</v>
      </c>
      <c r="M112" s="2" t="str">
        <f>IF(Calc_Helper!J112="","Unknown",Calc_Helper!J112)</f>
        <v>2024-09</v>
      </c>
      <c r="N112" s="19" t="str">
        <f>IF(Calc_Helper!K112="","",Calc_Helper!K112)</f>
        <v/>
      </c>
      <c r="O112" s="2">
        <f>IFERROR(Calc_Helper!L112,"")</f>
        <v>2024</v>
      </c>
      <c r="P112" s="2">
        <f>IFERROR(Calc_Helper!M112,"")</f>
        <v>9</v>
      </c>
      <c r="Q112" s="2" t="str">
        <f>IF(Calc_Helper!N112="","Unknown",Calc_Helper!N112)</f>
        <v>September</v>
      </c>
      <c r="R112" s="15">
        <f>IFERROR(IF(ISNUMBER(Clean_Data!L112),Clean_Data!L112,0),0)</f>
        <v>0.1</v>
      </c>
      <c r="S112" s="16">
        <f>IFERROR(IF(ISNUMBER(Clean_Data!M112),Clean_Data!M112,0),0)</f>
        <v>66.099999999999994</v>
      </c>
      <c r="T112" s="16">
        <f>IF(Clean_Data!N112="","",IFERROR(IF(ISNUMBER(Clean_Data!N112),Clean_Data!N112,""),""))</f>
        <v>0</v>
      </c>
      <c r="U112" s="16">
        <f>IFERROR(IF(ISNUMBER(Clean_Data!O112),Clean_Data!O112,0),0)</f>
        <v>-66.099999999999994</v>
      </c>
      <c r="V112" s="2">
        <f ca="1">IFERROR(IF(ISNUMBER(Calc_Helper!E112),Calc_Helper!E112,0),0)</f>
        <v>568</v>
      </c>
      <c r="W112" s="2">
        <f ca="1">IFERROR(IF(ISNUMBER(Calc_Helper!F112),Calc_Helper!F112,0),0)</f>
        <v>554</v>
      </c>
      <c r="X112" s="2">
        <f>IFERROR(IF(ISNUMBER(Calc_Helper!G112),Calc_Helper!G112,0),0)</f>
        <v>0</v>
      </c>
      <c r="Y112" s="2">
        <f ca="1">IFERROR(IF(ISNUMBER(Calc_Helper!H112),Calc_Helper!H112,0),0)</f>
        <v>568</v>
      </c>
      <c r="Z112" s="19" t="b">
        <f>Calc_Helper!B112</f>
        <v>0</v>
      </c>
      <c r="AA112" s="2">
        <f>IF(Calc_Helper!B112=TRUE(),1,0)</f>
        <v>0</v>
      </c>
      <c r="AB112" s="19" t="b">
        <f>Calc_Helper!C112</f>
        <v>1</v>
      </c>
      <c r="AC112" s="2">
        <f>IF(Calc_Helper!C112=TRUE(),1,0)</f>
        <v>1</v>
      </c>
      <c r="AD112" s="19" t="b">
        <f ca="1">Calc_Helper!D112</f>
        <v>1</v>
      </c>
      <c r="AE112" s="2">
        <f ca="1">IF(Calc_Helper!D112=TRUE(),1,0)</f>
        <v>1</v>
      </c>
      <c r="AF112" s="19" t="b">
        <f ca="1">Calc_Helper!O112</f>
        <v>1</v>
      </c>
      <c r="AG112" s="2">
        <f ca="1">IF(Calc_Helper!O112=TRUE(),1,0)</f>
        <v>1</v>
      </c>
      <c r="AH112" s="19" t="b">
        <f>Calc_Helper!P112</f>
        <v>0</v>
      </c>
      <c r="AI112" s="2">
        <f>IF(Calc_Helper!P112=TRUE(),1,0)</f>
        <v>0</v>
      </c>
      <c r="AJ112" s="19" t="b">
        <f ca="1">Calc_Helper!Q112</f>
        <v>0</v>
      </c>
      <c r="AK112" s="2">
        <f ca="1">IF(Calc_Helper!Q112=TRUE(),1,0)</f>
        <v>0</v>
      </c>
      <c r="AL112" s="19" t="b">
        <f ca="1">Calc_Helper!R112</f>
        <v>0</v>
      </c>
      <c r="AM112" s="2">
        <f ca="1">IF(Calc_Helper!R112=TRUE(),1,0)</f>
        <v>0</v>
      </c>
      <c r="AN112" s="2" t="str">
        <f>IF(Calc_Helper!S112="","Unknown",Calc_Helper!S112)</f>
        <v>N/A</v>
      </c>
      <c r="AO112" s="2">
        <f>IF(OR(Calc_Helper!S112="Healthy",Calc_Helper!S112="On Track"),1,0)</f>
        <v>0</v>
      </c>
      <c r="AP112" s="2" t="str">
        <f>IFERROR(IF(Calc_Helper!T112="","",Calc_Helper!T112),"")</f>
        <v/>
      </c>
      <c r="AQ112" s="2">
        <f>IF(Calc_Helper!T112=TRUE(),1,0)</f>
        <v>0</v>
      </c>
    </row>
    <row r="113" spans="1:43" x14ac:dyDescent="0.3">
      <c r="A113" s="5" t="str">
        <f>IF(Clean_Data!A113="","Unknown",Clean_Data!A113)</f>
        <v>TSK-0112</v>
      </c>
      <c r="B113" s="5" t="str">
        <f>IF(Clean_Data!B113="","Unknown",Clean_Data!B113)</f>
        <v>Website Redesign</v>
      </c>
      <c r="C113" s="5" t="str">
        <f>IF(Clean_Data!C113="","Unknown",Clean_Data!C113)</f>
        <v>Operations</v>
      </c>
      <c r="D113" s="5" t="str">
        <f>IF(Clean_Data!D113="","Unknown",Clean_Data!D113)</f>
        <v>Deepak Nair</v>
      </c>
      <c r="E113" s="5" t="str">
        <f>IF(Clean_Data!E113="","Unknown",Clean_Data!E113)</f>
        <v>Tester</v>
      </c>
      <c r="F113" s="5" t="str">
        <f>IF(Clean_Data!F113="","Unknown",Clean_Data!F113)</f>
        <v>High</v>
      </c>
      <c r="G113" s="5" t="str">
        <f>IF(Clean_Data!G113="","Unknown",Clean_Data!G113)</f>
        <v>Review</v>
      </c>
      <c r="H113" s="5" t="str">
        <f>IF(Clean_Data!K113="","Unknown",Clean_Data!K113)</f>
        <v>In Progress</v>
      </c>
      <c r="I113" s="13">
        <f>Clean_Data!H113</f>
        <v>45337</v>
      </c>
      <c r="J113" s="13">
        <f>Clean_Data!I113</f>
        <v>45365</v>
      </c>
      <c r="K113" s="13" t="str">
        <f>Clean_Data!J113</f>
        <v/>
      </c>
      <c r="L113" s="5" t="str">
        <f>IF(Calc_Helper!I113="","Unknown",Calc_Helper!I113)</f>
        <v>2024-03</v>
      </c>
      <c r="M113" s="5" t="str">
        <f>IF(Calc_Helper!J113="","Unknown",Calc_Helper!J113)</f>
        <v>2024-02</v>
      </c>
      <c r="N113" s="19" t="str">
        <f>IF(Calc_Helper!K113="","",Calc_Helper!K113)</f>
        <v/>
      </c>
      <c r="O113" s="5">
        <f>IFERROR(Calc_Helper!L113,"")</f>
        <v>2024</v>
      </c>
      <c r="P113" s="5">
        <f>IFERROR(Calc_Helper!M113,"")</f>
        <v>2</v>
      </c>
      <c r="Q113" s="5" t="str">
        <f>IF(Calc_Helper!N113="","Unknown",Calc_Helper!N113)</f>
        <v>February</v>
      </c>
      <c r="R113" s="17">
        <f>IFERROR(IF(ISNUMBER(Clean_Data!L113),Clean_Data!L113,0),0)</f>
        <v>0.36</v>
      </c>
      <c r="S113" s="18">
        <f>IFERROR(IF(ISNUMBER(Clean_Data!M113),Clean_Data!M113,0),0)</f>
        <v>64.099999999999994</v>
      </c>
      <c r="T113" s="16" t="str">
        <f>IF(Clean_Data!N113="","",IFERROR(IF(ISNUMBER(Clean_Data!N113),Clean_Data!N113,""),""))</f>
        <v/>
      </c>
      <c r="U113" s="18">
        <f>IFERROR(IF(ISNUMBER(Clean_Data!O113),Clean_Data!O113,0),0)</f>
        <v>0</v>
      </c>
      <c r="V113" s="5">
        <f ca="1">IFERROR(IF(ISNUMBER(Calc_Helper!E113),Calc_Helper!E113,0),0)</f>
        <v>789</v>
      </c>
      <c r="W113" s="5">
        <f ca="1">IFERROR(IF(ISNUMBER(Calc_Helper!F113),Calc_Helper!F113,0),0)</f>
        <v>761</v>
      </c>
      <c r="X113" s="5">
        <f>IFERROR(IF(ISNUMBER(Calc_Helper!G113),Calc_Helper!G113,0),0)</f>
        <v>0</v>
      </c>
      <c r="Y113" s="5">
        <f ca="1">IFERROR(IF(ISNUMBER(Calc_Helper!H113),Calc_Helper!H113,0),0)</f>
        <v>789</v>
      </c>
      <c r="Z113" s="20" t="b">
        <f>Calc_Helper!B113</f>
        <v>0</v>
      </c>
      <c r="AA113" s="5">
        <f>IF(Calc_Helper!B113=TRUE(),1,0)</f>
        <v>0</v>
      </c>
      <c r="AB113" s="20" t="b">
        <f>Calc_Helper!C113</f>
        <v>1</v>
      </c>
      <c r="AC113" s="5">
        <f>IF(Calc_Helper!C113=TRUE(),1,0)</f>
        <v>1</v>
      </c>
      <c r="AD113" s="20" t="b">
        <f ca="1">Calc_Helper!D113</f>
        <v>1</v>
      </c>
      <c r="AE113" s="5">
        <f ca="1">IF(Calc_Helper!D113=TRUE(),1,0)</f>
        <v>1</v>
      </c>
      <c r="AF113" s="20" t="b">
        <f ca="1">Calc_Helper!O113</f>
        <v>1</v>
      </c>
      <c r="AG113" s="5">
        <f ca="1">IF(Calc_Helper!O113=TRUE(),1,0)</f>
        <v>1</v>
      </c>
      <c r="AH113" s="20" t="b">
        <f>Calc_Helper!P113</f>
        <v>1</v>
      </c>
      <c r="AI113" s="5">
        <f>IF(Calc_Helper!P113=TRUE(),1,0)</f>
        <v>1</v>
      </c>
      <c r="AJ113" s="20" t="b">
        <f ca="1">Calc_Helper!Q113</f>
        <v>1</v>
      </c>
      <c r="AK113" s="5">
        <f ca="1">IF(Calc_Helper!Q113=TRUE(),1,0)</f>
        <v>1</v>
      </c>
      <c r="AL113" s="20" t="b">
        <f ca="1">Calc_Helper!R113</f>
        <v>1</v>
      </c>
      <c r="AM113" s="5">
        <f ca="1">IF(Calc_Helper!R113=TRUE(),1,0)</f>
        <v>1</v>
      </c>
      <c r="AN113" s="5" t="str">
        <f>IF(Calc_Helper!S113="","Unknown",Calc_Helper!S113)</f>
        <v>Slow</v>
      </c>
      <c r="AO113" s="5">
        <f>IF(OR(Calc_Helper!S113="Healthy",Calc_Helper!S113="On Track"),1,0)</f>
        <v>0</v>
      </c>
      <c r="AP113" s="5" t="str">
        <f>IFERROR(IF(Calc_Helper!T113="","",Calc_Helper!T113),"")</f>
        <v/>
      </c>
      <c r="AQ113" s="5">
        <f>IF(Calc_Helper!T113=TRUE(),1,0)</f>
        <v>0</v>
      </c>
    </row>
    <row r="114" spans="1:43" x14ac:dyDescent="0.3">
      <c r="A114" s="2" t="str">
        <f>IF(Clean_Data!A114="","Unknown",Clean_Data!A114)</f>
        <v>TSK-0113</v>
      </c>
      <c r="B114" s="2" t="str">
        <f>IF(Clean_Data!B114="","Unknown",Clean_Data!B114)</f>
        <v>Annual Audit</v>
      </c>
      <c r="C114" s="2" t="str">
        <f>IF(Clean_Data!C114="","Unknown",Clean_Data!C114)</f>
        <v>Sales</v>
      </c>
      <c r="D114" s="2" t="str">
        <f>IF(Clean_Data!D114="","Unknown",Clean_Data!D114)</f>
        <v>Kavita Rao</v>
      </c>
      <c r="E114" s="2" t="str">
        <f>IF(Clean_Data!E114="","Unknown",Clean_Data!E114)</f>
        <v>Analyst</v>
      </c>
      <c r="F114" s="2" t="str">
        <f>IF(Clean_Data!F114="","Unknown",Clean_Data!F114)</f>
        <v>Critical</v>
      </c>
      <c r="G114" s="2" t="str">
        <f>IF(Clean_Data!G114="","Unknown",Clean_Data!G114)</f>
        <v>Development</v>
      </c>
      <c r="H114" s="2" t="str">
        <f>IF(Clean_Data!K114="","Unknown",Clean_Data!K114)</f>
        <v>In Progress</v>
      </c>
      <c r="I114" s="10">
        <f>Clean_Data!H114</f>
        <v>45305</v>
      </c>
      <c r="J114" s="10">
        <f>Clean_Data!I114</f>
        <v>45326</v>
      </c>
      <c r="K114" s="10" t="str">
        <f>Clean_Data!J114</f>
        <v/>
      </c>
      <c r="L114" s="2" t="str">
        <f>IF(Calc_Helper!I114="","Unknown",Calc_Helper!I114)</f>
        <v>2024-02</v>
      </c>
      <c r="M114" s="2" t="str">
        <f>IF(Calc_Helper!J114="","Unknown",Calc_Helper!J114)</f>
        <v>2024-01</v>
      </c>
      <c r="N114" s="19" t="str">
        <f>IF(Calc_Helper!K114="","",Calc_Helper!K114)</f>
        <v/>
      </c>
      <c r="O114" s="2">
        <f>IFERROR(Calc_Helper!L114,"")</f>
        <v>2024</v>
      </c>
      <c r="P114" s="2">
        <f>IFERROR(Calc_Helper!M114,"")</f>
        <v>1</v>
      </c>
      <c r="Q114" s="2" t="str">
        <f>IF(Calc_Helper!N114="","Unknown",Calc_Helper!N114)</f>
        <v>January</v>
      </c>
      <c r="R114" s="15">
        <f>IFERROR(IF(ISNUMBER(Clean_Data!L114),Clean_Data!L114,0),0)</f>
        <v>0</v>
      </c>
      <c r="S114" s="16">
        <f>IFERROR(IF(ISNUMBER(Clean_Data!M114),Clean_Data!M114,0),0)</f>
        <v>12.5</v>
      </c>
      <c r="T114" s="16" t="str">
        <f>IF(Clean_Data!N114="","",IFERROR(IF(ISNUMBER(Clean_Data!N114),Clean_Data!N114,""),""))</f>
        <v/>
      </c>
      <c r="U114" s="16">
        <f>IFERROR(IF(ISNUMBER(Clean_Data!O114),Clean_Data!O114,0),0)</f>
        <v>0</v>
      </c>
      <c r="V114" s="2">
        <f ca="1">IFERROR(IF(ISNUMBER(Calc_Helper!E114),Calc_Helper!E114,0),0)</f>
        <v>821</v>
      </c>
      <c r="W114" s="2">
        <f ca="1">IFERROR(IF(ISNUMBER(Calc_Helper!F114),Calc_Helper!F114,0),0)</f>
        <v>800</v>
      </c>
      <c r="X114" s="2">
        <f>IFERROR(IF(ISNUMBER(Calc_Helper!G114),Calc_Helper!G114,0),0)</f>
        <v>0</v>
      </c>
      <c r="Y114" s="2">
        <f ca="1">IFERROR(IF(ISNUMBER(Calc_Helper!H114),Calc_Helper!H114,0),0)</f>
        <v>821</v>
      </c>
      <c r="Z114" s="19" t="b">
        <f>Calc_Helper!B114</f>
        <v>0</v>
      </c>
      <c r="AA114" s="2">
        <f>IF(Calc_Helper!B114=TRUE(),1,0)</f>
        <v>0</v>
      </c>
      <c r="AB114" s="19" t="b">
        <f>Calc_Helper!C114</f>
        <v>1</v>
      </c>
      <c r="AC114" s="2">
        <f>IF(Calc_Helper!C114=TRUE(),1,0)</f>
        <v>1</v>
      </c>
      <c r="AD114" s="19" t="b">
        <f ca="1">Calc_Helper!D114</f>
        <v>1</v>
      </c>
      <c r="AE114" s="2">
        <f ca="1">IF(Calc_Helper!D114=TRUE(),1,0)</f>
        <v>1</v>
      </c>
      <c r="AF114" s="19" t="b">
        <f ca="1">Calc_Helper!O114</f>
        <v>1</v>
      </c>
      <c r="AG114" s="2">
        <f ca="1">IF(Calc_Helper!O114=TRUE(),1,0)</f>
        <v>1</v>
      </c>
      <c r="AH114" s="19" t="b">
        <f>Calc_Helper!P114</f>
        <v>1</v>
      </c>
      <c r="AI114" s="2">
        <f>IF(Calc_Helper!P114=TRUE(),1,0)</f>
        <v>1</v>
      </c>
      <c r="AJ114" s="19" t="b">
        <f ca="1">Calc_Helper!Q114</f>
        <v>1</v>
      </c>
      <c r="AK114" s="2">
        <f ca="1">IF(Calc_Helper!Q114=TRUE(),1,0)</f>
        <v>1</v>
      </c>
      <c r="AL114" s="19" t="b">
        <f ca="1">Calc_Helper!R114</f>
        <v>1</v>
      </c>
      <c r="AM114" s="2">
        <f ca="1">IF(Calc_Helper!R114=TRUE(),1,0)</f>
        <v>1</v>
      </c>
      <c r="AN114" s="2" t="str">
        <f>IF(Calc_Helper!S114="","Unknown",Calc_Helper!S114)</f>
        <v>N/A</v>
      </c>
      <c r="AO114" s="2">
        <f>IF(OR(Calc_Helper!S114="Healthy",Calc_Helper!S114="On Track"),1,0)</f>
        <v>0</v>
      </c>
      <c r="AP114" s="2" t="str">
        <f>IFERROR(IF(Calc_Helper!T114="","",Calc_Helper!T114),"")</f>
        <v/>
      </c>
      <c r="AQ114" s="2">
        <f>IF(Calc_Helper!T114=TRUE(),1,0)</f>
        <v>0</v>
      </c>
    </row>
    <row r="115" spans="1:43" x14ac:dyDescent="0.3">
      <c r="A115" s="5" t="str">
        <f>IF(Clean_Data!A115="","Unknown",Clean_Data!A115)</f>
        <v>TSK-0114</v>
      </c>
      <c r="B115" s="5" t="str">
        <f>IF(Clean_Data!B115="","Unknown",Clean_Data!B115)</f>
        <v>Website Redesign</v>
      </c>
      <c r="C115" s="5" t="str">
        <f>IF(Clean_Data!C115="","Unknown",Clean_Data!C115)</f>
        <v>Marketing</v>
      </c>
      <c r="D115" s="5" t="str">
        <f>IF(Clean_Data!D115="","Unknown",Clean_Data!D115)</f>
        <v>Arjun Mehta</v>
      </c>
      <c r="E115" s="5" t="str">
        <f>IF(Clean_Data!E115="","Unknown",Clean_Data!E115)</f>
        <v>Coordinator</v>
      </c>
      <c r="F115" s="5" t="str">
        <f>IF(Clean_Data!F115="","Unknown",Clean_Data!F115)</f>
        <v>High</v>
      </c>
      <c r="G115" s="5" t="str">
        <f>IF(Clean_Data!G115="","Unknown",Clean_Data!G115)</f>
        <v>Testing</v>
      </c>
      <c r="H115" s="5" t="str">
        <f>IF(Clean_Data!K115="","Unknown",Clean_Data!K115)</f>
        <v>Completed</v>
      </c>
      <c r="I115" s="13">
        <f>Clean_Data!H115</f>
        <v>45551</v>
      </c>
      <c r="J115" s="13">
        <f>Clean_Data!I115</f>
        <v>45594</v>
      </c>
      <c r="K115" s="13">
        <f>Clean_Data!J115</f>
        <v>45604</v>
      </c>
      <c r="L115" s="5" t="str">
        <f>IF(Calc_Helper!I115="","Unknown",Calc_Helper!I115)</f>
        <v>2024-10</v>
      </c>
      <c r="M115" s="5" t="str">
        <f>IF(Calc_Helper!J115="","Unknown",Calc_Helper!J115)</f>
        <v>2024-09</v>
      </c>
      <c r="N115" s="19" t="str">
        <f>IF(Calc_Helper!K115="","",Calc_Helper!K115)</f>
        <v>2024-11</v>
      </c>
      <c r="O115" s="5">
        <f>IFERROR(Calc_Helper!L115,"")</f>
        <v>2024</v>
      </c>
      <c r="P115" s="5">
        <f>IFERROR(Calc_Helper!M115,"")</f>
        <v>9</v>
      </c>
      <c r="Q115" s="5" t="str">
        <f>IF(Calc_Helper!N115="","Unknown",Calc_Helper!N115)</f>
        <v>September</v>
      </c>
      <c r="R115" s="17">
        <f>IFERROR(IF(ISNUMBER(Clean_Data!L115),Clean_Data!L115,0),0)</f>
        <v>1</v>
      </c>
      <c r="S115" s="18">
        <f>IFERROR(IF(ISNUMBER(Clean_Data!M115),Clean_Data!M115,0),0)</f>
        <v>47.7</v>
      </c>
      <c r="T115" s="16">
        <f>IF(Clean_Data!N115="","",IFERROR(IF(ISNUMBER(Clean_Data!N115),Clean_Data!N115,""),""))</f>
        <v>61.4</v>
      </c>
      <c r="U115" s="18">
        <f>IFERROR(IF(ISNUMBER(Clean_Data!O115),Clean_Data!O115,0),0)</f>
        <v>13.699999999999996</v>
      </c>
      <c r="V115" s="5">
        <f ca="1">IFERROR(IF(ISNUMBER(Calc_Helper!E115),Calc_Helper!E115,0),0)</f>
        <v>0</v>
      </c>
      <c r="W115" s="5">
        <f ca="1">IFERROR(IF(ISNUMBER(Calc_Helper!F115),Calc_Helper!F115,0),0)</f>
        <v>10</v>
      </c>
      <c r="X115" s="5">
        <f>IFERROR(IF(ISNUMBER(Calc_Helper!G115),Calc_Helper!G115,0),0)</f>
        <v>53</v>
      </c>
      <c r="Y115" s="5">
        <f ca="1">IFERROR(IF(ISNUMBER(Calc_Helper!H115),Calc_Helper!H115,0),0)</f>
        <v>53</v>
      </c>
      <c r="Z115" s="20" t="b">
        <f>Calc_Helper!B115</f>
        <v>1</v>
      </c>
      <c r="AA115" s="5">
        <f>IF(Calc_Helper!B115=TRUE(),1,0)</f>
        <v>1</v>
      </c>
      <c r="AB115" s="20" t="b">
        <f>Calc_Helper!C115</f>
        <v>0</v>
      </c>
      <c r="AC115" s="5">
        <f>IF(Calc_Helper!C115=TRUE(),1,0)</f>
        <v>0</v>
      </c>
      <c r="AD115" s="20" t="b">
        <f ca="1">Calc_Helper!D115</f>
        <v>0</v>
      </c>
      <c r="AE115" s="5">
        <f ca="1">IF(Calc_Helper!D115=TRUE(),1,0)</f>
        <v>0</v>
      </c>
      <c r="AF115" s="20" t="b">
        <f ca="1">Calc_Helper!O115</f>
        <v>0</v>
      </c>
      <c r="AG115" s="5">
        <f ca="1">IF(Calc_Helper!O115=TRUE(),1,0)</f>
        <v>0</v>
      </c>
      <c r="AH115" s="20" t="b">
        <f>Calc_Helper!P115</f>
        <v>0</v>
      </c>
      <c r="AI115" s="5">
        <f>IF(Calc_Helper!P115=TRUE(),1,0)</f>
        <v>0</v>
      </c>
      <c r="AJ115" s="20" t="b">
        <f ca="1">Calc_Helper!Q115</f>
        <v>0</v>
      </c>
      <c r="AK115" s="5">
        <f ca="1">IF(Calc_Helper!Q115=TRUE(),1,0)</f>
        <v>0</v>
      </c>
      <c r="AL115" s="20" t="b">
        <f ca="1">Calc_Helper!R115</f>
        <v>0</v>
      </c>
      <c r="AM115" s="5">
        <f ca="1">IF(Calc_Helper!R115=TRUE(),1,0)</f>
        <v>0</v>
      </c>
      <c r="AN115" s="5" t="str">
        <f>IF(Calc_Helper!S115="","Unknown",Calc_Helper!S115)</f>
        <v>Over Budget</v>
      </c>
      <c r="AO115" s="5">
        <f>IF(OR(Calc_Helper!S115="Healthy",Calc_Helper!S115="On Track"),1,0)</f>
        <v>0</v>
      </c>
      <c r="AP115" s="20" t="b">
        <f>IFERROR(IF(Calc_Helper!T115="","",Calc_Helper!T115),"")</f>
        <v>0</v>
      </c>
      <c r="AQ115" s="5">
        <f>IF(Calc_Helper!T115=TRUE(),1,0)</f>
        <v>0</v>
      </c>
    </row>
    <row r="116" spans="1:43" x14ac:dyDescent="0.3">
      <c r="A116" s="2" t="str">
        <f>IF(Clean_Data!A116="","Unknown",Clean_Data!A116)</f>
        <v>TSK-0115</v>
      </c>
      <c r="B116" s="2" t="str">
        <f>IF(Clean_Data!B116="","Unknown",Clean_Data!B116)</f>
        <v>Mobile App v2</v>
      </c>
      <c r="C116" s="2" t="str">
        <f>IF(Clean_Data!C116="","Unknown",Clean_Data!C116)</f>
        <v>Operations</v>
      </c>
      <c r="D116" s="2" t="str">
        <f>IF(Clean_Data!D116="","Unknown",Clean_Data!D116)</f>
        <v>Sneha Gupta</v>
      </c>
      <c r="E116" s="2" t="str">
        <f>IF(Clean_Data!E116="","Unknown",Clean_Data!E116)</f>
        <v>Coordinator</v>
      </c>
      <c r="F116" s="2" t="str">
        <f>IF(Clean_Data!F116="","Unknown",Clean_Data!F116)</f>
        <v>High</v>
      </c>
      <c r="G116" s="2" t="str">
        <f>IF(Clean_Data!G116="","Unknown",Clean_Data!G116)</f>
        <v>Development</v>
      </c>
      <c r="H116" s="2" t="str">
        <f>IF(Clean_Data!K116="","Unknown",Clean_Data!K116)</f>
        <v>Completed</v>
      </c>
      <c r="I116" s="10">
        <f>Clean_Data!H116</f>
        <v>45564</v>
      </c>
      <c r="J116" s="10">
        <f>Clean_Data!I116</f>
        <v>45592</v>
      </c>
      <c r="K116" s="10">
        <f>Clean_Data!J116</f>
        <v>45598</v>
      </c>
      <c r="L116" s="2" t="str">
        <f>IF(Calc_Helper!I116="","Unknown",Calc_Helper!I116)</f>
        <v>2024-10</v>
      </c>
      <c r="M116" s="2" t="str">
        <f>IF(Calc_Helper!J116="","Unknown",Calc_Helper!J116)</f>
        <v>2024-09</v>
      </c>
      <c r="N116" s="19" t="str">
        <f>IF(Calc_Helper!K116="","",Calc_Helper!K116)</f>
        <v>2024-11</v>
      </c>
      <c r="O116" s="2">
        <f>IFERROR(Calc_Helper!L116,"")</f>
        <v>2024</v>
      </c>
      <c r="P116" s="2">
        <f>IFERROR(Calc_Helper!M116,"")</f>
        <v>9</v>
      </c>
      <c r="Q116" s="2" t="str">
        <f>IF(Calc_Helper!N116="","Unknown",Calc_Helper!N116)</f>
        <v>September</v>
      </c>
      <c r="R116" s="15">
        <f>IFERROR(IF(ISNUMBER(Clean_Data!L116),Clean_Data!L116,0),0)</f>
        <v>1</v>
      </c>
      <c r="S116" s="16">
        <f>IFERROR(IF(ISNUMBER(Clean_Data!M116),Clean_Data!M116,0),0)</f>
        <v>42.6</v>
      </c>
      <c r="T116" s="16">
        <f>IF(Clean_Data!N116="","",IFERROR(IF(ISNUMBER(Clean_Data!N116),Clean_Data!N116,""),""))</f>
        <v>67.099999999999994</v>
      </c>
      <c r="U116" s="16">
        <f>IFERROR(IF(ISNUMBER(Clean_Data!O116),Clean_Data!O116,0),0)</f>
        <v>24.499999999999993</v>
      </c>
      <c r="V116" s="2">
        <f ca="1">IFERROR(IF(ISNUMBER(Calc_Helper!E116),Calc_Helper!E116,0),0)</f>
        <v>0</v>
      </c>
      <c r="W116" s="2">
        <f ca="1">IFERROR(IF(ISNUMBER(Calc_Helper!F116),Calc_Helper!F116,0),0)</f>
        <v>6</v>
      </c>
      <c r="X116" s="2">
        <f>IFERROR(IF(ISNUMBER(Calc_Helper!G116),Calc_Helper!G116,0),0)</f>
        <v>34</v>
      </c>
      <c r="Y116" s="2">
        <f ca="1">IFERROR(IF(ISNUMBER(Calc_Helper!H116),Calc_Helper!H116,0),0)</f>
        <v>34</v>
      </c>
      <c r="Z116" s="19" t="b">
        <f>Calc_Helper!B116</f>
        <v>1</v>
      </c>
      <c r="AA116" s="2">
        <f>IF(Calc_Helper!B116=TRUE(),1,0)</f>
        <v>1</v>
      </c>
      <c r="AB116" s="19" t="b">
        <f>Calc_Helper!C116</f>
        <v>0</v>
      </c>
      <c r="AC116" s="2">
        <f>IF(Calc_Helper!C116=TRUE(),1,0)</f>
        <v>0</v>
      </c>
      <c r="AD116" s="19" t="b">
        <f ca="1">Calc_Helper!D116</f>
        <v>0</v>
      </c>
      <c r="AE116" s="2">
        <f ca="1">IF(Calc_Helper!D116=TRUE(),1,0)</f>
        <v>0</v>
      </c>
      <c r="AF116" s="19" t="b">
        <f ca="1">Calc_Helper!O116</f>
        <v>0</v>
      </c>
      <c r="AG116" s="2">
        <f ca="1">IF(Calc_Helper!O116=TRUE(),1,0)</f>
        <v>0</v>
      </c>
      <c r="AH116" s="19" t="b">
        <f>Calc_Helper!P116</f>
        <v>0</v>
      </c>
      <c r="AI116" s="2">
        <f>IF(Calc_Helper!P116=TRUE(),1,0)</f>
        <v>0</v>
      </c>
      <c r="AJ116" s="19" t="b">
        <f ca="1">Calc_Helper!Q116</f>
        <v>0</v>
      </c>
      <c r="AK116" s="2">
        <f ca="1">IF(Calc_Helper!Q116=TRUE(),1,0)</f>
        <v>0</v>
      </c>
      <c r="AL116" s="19" t="b">
        <f ca="1">Calc_Helper!R116</f>
        <v>0</v>
      </c>
      <c r="AM116" s="2">
        <f ca="1">IF(Calc_Helper!R116=TRUE(),1,0)</f>
        <v>0</v>
      </c>
      <c r="AN116" s="2" t="str">
        <f>IF(Calc_Helper!S116="","Unknown",Calc_Helper!S116)</f>
        <v>Over Budget</v>
      </c>
      <c r="AO116" s="2">
        <f>IF(OR(Calc_Helper!S116="Healthy",Calc_Helper!S116="On Track"),1,0)</f>
        <v>0</v>
      </c>
      <c r="AP116" s="19" t="b">
        <f>IFERROR(IF(Calc_Helper!T116="","",Calc_Helper!T116),"")</f>
        <v>0</v>
      </c>
      <c r="AQ116" s="2">
        <f>IF(Calc_Helper!T116=TRUE(),1,0)</f>
        <v>0</v>
      </c>
    </row>
    <row r="117" spans="1:43" x14ac:dyDescent="0.3">
      <c r="A117" s="5" t="str">
        <f>IF(Clean_Data!A117="","Unknown",Clean_Data!A117)</f>
        <v>TSK-0116</v>
      </c>
      <c r="B117" s="5" t="str">
        <f>IF(Clean_Data!B117="","Unknown",Clean_Data!B117)</f>
        <v>Data Analytics Platform</v>
      </c>
      <c r="C117" s="5" t="str">
        <f>IF(Clean_Data!C117="","Unknown",Clean_Data!C117)</f>
        <v>IT</v>
      </c>
      <c r="D117" s="5" t="str">
        <f>IF(Clean_Data!D117="","Unknown",Clean_Data!D117)</f>
        <v>Rohan Iyer</v>
      </c>
      <c r="E117" s="5" t="str">
        <f>IF(Clean_Data!E117="","Unknown",Clean_Data!E117)</f>
        <v>Tester</v>
      </c>
      <c r="F117" s="5" t="str">
        <f>IF(Clean_Data!F117="","Unknown",Clean_Data!F117)</f>
        <v>Medium</v>
      </c>
      <c r="G117" s="5" t="str">
        <f>IF(Clean_Data!G117="","Unknown",Clean_Data!G117)</f>
        <v>Research</v>
      </c>
      <c r="H117" s="5" t="str">
        <f>IF(Clean_Data!K117="","Unknown",Clean_Data!K117)</f>
        <v>Not Started</v>
      </c>
      <c r="I117" s="13">
        <f>Clean_Data!H117</f>
        <v>45678</v>
      </c>
      <c r="J117" s="13">
        <f>Clean_Data!I117</f>
        <v>45684</v>
      </c>
      <c r="K117" s="13" t="str">
        <f>Clean_Data!J117</f>
        <v/>
      </c>
      <c r="L117" s="5" t="str">
        <f>IF(Calc_Helper!I117="","Unknown",Calc_Helper!I117)</f>
        <v>2025-01</v>
      </c>
      <c r="M117" s="5" t="str">
        <f>IF(Calc_Helper!J117="","Unknown",Calc_Helper!J117)</f>
        <v>2025-01</v>
      </c>
      <c r="N117" s="19" t="str">
        <f>IF(Calc_Helper!K117="","",Calc_Helper!K117)</f>
        <v/>
      </c>
      <c r="O117" s="5">
        <f>IFERROR(Calc_Helper!L117,"")</f>
        <v>2025</v>
      </c>
      <c r="P117" s="5">
        <f>IFERROR(Calc_Helper!M117,"")</f>
        <v>1</v>
      </c>
      <c r="Q117" s="5" t="str">
        <f>IF(Calc_Helper!N117="","Unknown",Calc_Helper!N117)</f>
        <v>January</v>
      </c>
      <c r="R117" s="17">
        <f>IFERROR(IF(ISNUMBER(Clean_Data!L117),Clean_Data!L117,0),0)</f>
        <v>0</v>
      </c>
      <c r="S117" s="18">
        <f>IFERROR(IF(ISNUMBER(Clean_Data!M117),Clean_Data!M117,0),0)</f>
        <v>30.2</v>
      </c>
      <c r="T117" s="16" t="str">
        <f>IF(Clean_Data!N117="","",IFERROR(IF(ISNUMBER(Clean_Data!N117),Clean_Data!N117,""),""))</f>
        <v/>
      </c>
      <c r="U117" s="18">
        <f>IFERROR(IF(ISNUMBER(Clean_Data!O117),Clean_Data!O117,0),0)</f>
        <v>0</v>
      </c>
      <c r="V117" s="5">
        <f ca="1">IFERROR(IF(ISNUMBER(Calc_Helper!E117),Calc_Helper!E117,0),0)</f>
        <v>448</v>
      </c>
      <c r="W117" s="5">
        <f ca="1">IFERROR(IF(ISNUMBER(Calc_Helper!F117),Calc_Helper!F117,0),0)</f>
        <v>442</v>
      </c>
      <c r="X117" s="5">
        <f>IFERROR(IF(ISNUMBER(Calc_Helper!G117),Calc_Helper!G117,0),0)</f>
        <v>0</v>
      </c>
      <c r="Y117" s="5">
        <f ca="1">IFERROR(IF(ISNUMBER(Calc_Helper!H117),Calc_Helper!H117,0),0)</f>
        <v>448</v>
      </c>
      <c r="Z117" s="20" t="b">
        <f>Calc_Helper!B117</f>
        <v>0</v>
      </c>
      <c r="AA117" s="5">
        <f>IF(Calc_Helper!B117=TRUE(),1,0)</f>
        <v>0</v>
      </c>
      <c r="AB117" s="20" t="b">
        <f>Calc_Helper!C117</f>
        <v>1</v>
      </c>
      <c r="AC117" s="5">
        <f>IF(Calc_Helper!C117=TRUE(),1,0)</f>
        <v>1</v>
      </c>
      <c r="AD117" s="20" t="b">
        <f ca="1">Calc_Helper!D117</f>
        <v>1</v>
      </c>
      <c r="AE117" s="5">
        <f ca="1">IF(Calc_Helper!D117=TRUE(),1,0)</f>
        <v>1</v>
      </c>
      <c r="AF117" s="20" t="b">
        <f ca="1">Calc_Helper!O117</f>
        <v>1</v>
      </c>
      <c r="AG117" s="5">
        <f ca="1">IF(Calc_Helper!O117=TRUE(),1,0)</f>
        <v>1</v>
      </c>
      <c r="AH117" s="20" t="b">
        <f>Calc_Helper!P117</f>
        <v>0</v>
      </c>
      <c r="AI117" s="5">
        <f>IF(Calc_Helper!P117=TRUE(),1,0)</f>
        <v>0</v>
      </c>
      <c r="AJ117" s="20" t="b">
        <f ca="1">Calc_Helper!Q117</f>
        <v>0</v>
      </c>
      <c r="AK117" s="5">
        <f ca="1">IF(Calc_Helper!Q117=TRUE(),1,0)</f>
        <v>0</v>
      </c>
      <c r="AL117" s="20" t="b">
        <f ca="1">Calc_Helper!R117</f>
        <v>0</v>
      </c>
      <c r="AM117" s="5">
        <f ca="1">IF(Calc_Helper!R117=TRUE(),1,0)</f>
        <v>0</v>
      </c>
      <c r="AN117" s="5" t="str">
        <f>IF(Calc_Helper!S117="","Unknown",Calc_Helper!S117)</f>
        <v>N/A</v>
      </c>
      <c r="AO117" s="5">
        <f>IF(OR(Calc_Helper!S117="Healthy",Calc_Helper!S117="On Track"),1,0)</f>
        <v>0</v>
      </c>
      <c r="AP117" s="5" t="str">
        <f>IFERROR(IF(Calc_Helper!T117="","",Calc_Helper!T117),"")</f>
        <v/>
      </c>
      <c r="AQ117" s="5">
        <f>IF(Calc_Helper!T117=TRUE(),1,0)</f>
        <v>0</v>
      </c>
    </row>
    <row r="118" spans="1:43" x14ac:dyDescent="0.3">
      <c r="A118" s="2" t="str">
        <f>IF(Clean_Data!A118="","Unknown",Clean_Data!A118)</f>
        <v>TSK-0117</v>
      </c>
      <c r="B118" s="2" t="str">
        <f>IF(Clean_Data!B118="","Unknown",Clean_Data!B118)</f>
        <v>Mobile App v2</v>
      </c>
      <c r="C118" s="2" t="str">
        <f>IF(Clean_Data!C118="","Unknown",Clean_Data!C118)</f>
        <v>HR</v>
      </c>
      <c r="D118" s="2" t="str">
        <f>IF(Clean_Data!D118="","Unknown",Clean_Data!D118)</f>
        <v>Amit Verma</v>
      </c>
      <c r="E118" s="2" t="str">
        <f>IF(Clean_Data!E118="","Unknown",Clean_Data!E118)</f>
        <v>Analyst</v>
      </c>
      <c r="F118" s="2" t="str">
        <f>IF(Clean_Data!F118="","Unknown",Clean_Data!F118)</f>
        <v>Medium</v>
      </c>
      <c r="G118" s="2" t="str">
        <f>IF(Clean_Data!G118="","Unknown",Clean_Data!G118)</f>
        <v>Planning</v>
      </c>
      <c r="H118" s="2" t="str">
        <f>IF(Clean_Data!K118="","Unknown",Clean_Data!K118)</f>
        <v>On Hold</v>
      </c>
      <c r="I118" s="10">
        <f>Clean_Data!H118</f>
        <v>45625</v>
      </c>
      <c r="J118" s="10">
        <f>Clean_Data!I118</f>
        <v>45641</v>
      </c>
      <c r="K118" s="10" t="str">
        <f>Clean_Data!J118</f>
        <v/>
      </c>
      <c r="L118" s="2" t="str">
        <f>IF(Calc_Helper!I118="","Unknown",Calc_Helper!I118)</f>
        <v>2024-12</v>
      </c>
      <c r="M118" s="2" t="str">
        <f>IF(Calc_Helper!J118="","Unknown",Calc_Helper!J118)</f>
        <v>2024-11</v>
      </c>
      <c r="N118" s="19" t="str">
        <f>IF(Calc_Helper!K118="","",Calc_Helper!K118)</f>
        <v/>
      </c>
      <c r="O118" s="2">
        <f>IFERROR(Calc_Helper!L118,"")</f>
        <v>2024</v>
      </c>
      <c r="P118" s="2">
        <f>IFERROR(Calc_Helper!M118,"")</f>
        <v>11</v>
      </c>
      <c r="Q118" s="2" t="str">
        <f>IF(Calc_Helper!N118="","Unknown",Calc_Helper!N118)</f>
        <v>November</v>
      </c>
      <c r="R118" s="15">
        <f>IFERROR(IF(ISNUMBER(Clean_Data!L118),Clean_Data!L118,0),0)</f>
        <v>0</v>
      </c>
      <c r="S118" s="16">
        <f>IFERROR(IF(ISNUMBER(Clean_Data!M118),Clean_Data!M118,0),0)</f>
        <v>17.899999999999999</v>
      </c>
      <c r="T118" s="16" t="str">
        <f>IF(Clean_Data!N118="","",IFERROR(IF(ISNUMBER(Clean_Data!N118),Clean_Data!N118,""),""))</f>
        <v/>
      </c>
      <c r="U118" s="16">
        <f>IFERROR(IF(ISNUMBER(Clean_Data!O118),Clean_Data!O118,0),0)</f>
        <v>0</v>
      </c>
      <c r="V118" s="2">
        <f ca="1">IFERROR(IF(ISNUMBER(Calc_Helper!E118),Calc_Helper!E118,0),0)</f>
        <v>501</v>
      </c>
      <c r="W118" s="2">
        <f ca="1">IFERROR(IF(ISNUMBER(Calc_Helper!F118),Calc_Helper!F118,0),0)</f>
        <v>485</v>
      </c>
      <c r="X118" s="2">
        <f>IFERROR(IF(ISNUMBER(Calc_Helper!G118),Calc_Helper!G118,0),0)</f>
        <v>0</v>
      </c>
      <c r="Y118" s="2">
        <f ca="1">IFERROR(IF(ISNUMBER(Calc_Helper!H118),Calc_Helper!H118,0),0)</f>
        <v>501</v>
      </c>
      <c r="Z118" s="19" t="b">
        <f>Calc_Helper!B118</f>
        <v>0</v>
      </c>
      <c r="AA118" s="2">
        <f>IF(Calc_Helper!B118=TRUE(),1,0)</f>
        <v>0</v>
      </c>
      <c r="AB118" s="19" t="b">
        <f>Calc_Helper!C118</f>
        <v>1</v>
      </c>
      <c r="AC118" s="2">
        <f>IF(Calc_Helper!C118=TRUE(),1,0)</f>
        <v>1</v>
      </c>
      <c r="AD118" s="19" t="b">
        <f ca="1">Calc_Helper!D118</f>
        <v>1</v>
      </c>
      <c r="AE118" s="2">
        <f ca="1">IF(Calc_Helper!D118=TRUE(),1,0)</f>
        <v>1</v>
      </c>
      <c r="AF118" s="19" t="b">
        <f ca="1">Calc_Helper!O118</f>
        <v>1</v>
      </c>
      <c r="AG118" s="2">
        <f ca="1">IF(Calc_Helper!O118=TRUE(),1,0)</f>
        <v>1</v>
      </c>
      <c r="AH118" s="19" t="b">
        <f>Calc_Helper!P118</f>
        <v>0</v>
      </c>
      <c r="AI118" s="2">
        <f>IF(Calc_Helper!P118=TRUE(),1,0)</f>
        <v>0</v>
      </c>
      <c r="AJ118" s="19" t="b">
        <f ca="1">Calc_Helper!Q118</f>
        <v>0</v>
      </c>
      <c r="AK118" s="2">
        <f ca="1">IF(Calc_Helper!Q118=TRUE(),1,0)</f>
        <v>0</v>
      </c>
      <c r="AL118" s="19" t="b">
        <f ca="1">Calc_Helper!R118</f>
        <v>0</v>
      </c>
      <c r="AM118" s="2">
        <f ca="1">IF(Calc_Helper!R118=TRUE(),1,0)</f>
        <v>0</v>
      </c>
      <c r="AN118" s="2" t="str">
        <f>IF(Calc_Helper!S118="","Unknown",Calc_Helper!S118)</f>
        <v>N/A</v>
      </c>
      <c r="AO118" s="2">
        <f>IF(OR(Calc_Helper!S118="Healthy",Calc_Helper!S118="On Track"),1,0)</f>
        <v>0</v>
      </c>
      <c r="AP118" s="2" t="str">
        <f>IFERROR(IF(Calc_Helper!T118="","",Calc_Helper!T118),"")</f>
        <v/>
      </c>
      <c r="AQ118" s="2">
        <f>IF(Calc_Helper!T118=TRUE(),1,0)</f>
        <v>0</v>
      </c>
    </row>
    <row r="119" spans="1:43" x14ac:dyDescent="0.3">
      <c r="A119" s="5" t="str">
        <f>IF(Clean_Data!A119="","Unknown",Clean_Data!A119)</f>
        <v>TSK-0118</v>
      </c>
      <c r="B119" s="5" t="str">
        <f>IF(Clean_Data!B119="","Unknown",Clean_Data!B119)</f>
        <v>Website Redesign</v>
      </c>
      <c r="C119" s="5" t="str">
        <f>IF(Clean_Data!C119="","Unknown",Clean_Data!C119)</f>
        <v>HR</v>
      </c>
      <c r="D119" s="5" t="str">
        <f>IF(Clean_Data!D119="","Unknown",Clean_Data!D119)</f>
        <v>Sneha Gupta</v>
      </c>
      <c r="E119" s="5" t="str">
        <f>IF(Clean_Data!E119="","Unknown",Clean_Data!E119)</f>
        <v>Analyst</v>
      </c>
      <c r="F119" s="5" t="str">
        <f>IF(Clean_Data!F119="","Unknown",Clean_Data!F119)</f>
        <v>Critical</v>
      </c>
      <c r="G119" s="5" t="str">
        <f>IF(Clean_Data!G119="","Unknown",Clean_Data!G119)</f>
        <v>Design</v>
      </c>
      <c r="H119" s="5" t="str">
        <f>IF(Clean_Data!K119="","Unknown",Clean_Data!K119)</f>
        <v>Not Started</v>
      </c>
      <c r="I119" s="13">
        <f>Clean_Data!H119</f>
        <v>45317</v>
      </c>
      <c r="J119" s="13">
        <f>Clean_Data!I119</f>
        <v>45342</v>
      </c>
      <c r="K119" s="13" t="str">
        <f>Clean_Data!J119</f>
        <v/>
      </c>
      <c r="L119" s="5" t="str">
        <f>IF(Calc_Helper!I119="","Unknown",Calc_Helper!I119)</f>
        <v>2024-02</v>
      </c>
      <c r="M119" s="5" t="str">
        <f>IF(Calc_Helper!J119="","Unknown",Calc_Helper!J119)</f>
        <v>2024-01</v>
      </c>
      <c r="N119" s="19" t="str">
        <f>IF(Calc_Helper!K119="","",Calc_Helper!K119)</f>
        <v/>
      </c>
      <c r="O119" s="5">
        <f>IFERROR(Calc_Helper!L119,"")</f>
        <v>2024</v>
      </c>
      <c r="P119" s="5">
        <f>IFERROR(Calc_Helper!M119,"")</f>
        <v>1</v>
      </c>
      <c r="Q119" s="5" t="str">
        <f>IF(Calc_Helper!N119="","Unknown",Calc_Helper!N119)</f>
        <v>January</v>
      </c>
      <c r="R119" s="17">
        <f>IFERROR(IF(ISNUMBER(Clean_Data!L119),Clean_Data!L119,0),0)</f>
        <v>0</v>
      </c>
      <c r="S119" s="18">
        <f>IFERROR(IF(ISNUMBER(Clean_Data!M119),Clean_Data!M119,0),0)</f>
        <v>34.299999999999997</v>
      </c>
      <c r="T119" s="16" t="str">
        <f>IF(Clean_Data!N119="","",IFERROR(IF(ISNUMBER(Clean_Data!N119),Clean_Data!N119,""),""))</f>
        <v/>
      </c>
      <c r="U119" s="18">
        <f>IFERROR(IF(ISNUMBER(Clean_Data!O119),Clean_Data!O119,0),0)</f>
        <v>0</v>
      </c>
      <c r="V119" s="5">
        <f ca="1">IFERROR(IF(ISNUMBER(Calc_Helper!E119),Calc_Helper!E119,0),0)</f>
        <v>809</v>
      </c>
      <c r="W119" s="5">
        <f ca="1">IFERROR(IF(ISNUMBER(Calc_Helper!F119),Calc_Helper!F119,0),0)</f>
        <v>784</v>
      </c>
      <c r="X119" s="5">
        <f>IFERROR(IF(ISNUMBER(Calc_Helper!G119),Calc_Helper!G119,0),0)</f>
        <v>0</v>
      </c>
      <c r="Y119" s="5">
        <f ca="1">IFERROR(IF(ISNUMBER(Calc_Helper!H119),Calc_Helper!H119,0),0)</f>
        <v>809</v>
      </c>
      <c r="Z119" s="20" t="b">
        <f>Calc_Helper!B119</f>
        <v>0</v>
      </c>
      <c r="AA119" s="5">
        <f>IF(Calc_Helper!B119=TRUE(),1,0)</f>
        <v>0</v>
      </c>
      <c r="AB119" s="20" t="b">
        <f>Calc_Helper!C119</f>
        <v>1</v>
      </c>
      <c r="AC119" s="5">
        <f>IF(Calc_Helper!C119=TRUE(),1,0)</f>
        <v>1</v>
      </c>
      <c r="AD119" s="20" t="b">
        <f ca="1">Calc_Helper!D119</f>
        <v>1</v>
      </c>
      <c r="AE119" s="5">
        <f ca="1">IF(Calc_Helper!D119=TRUE(),1,0)</f>
        <v>1</v>
      </c>
      <c r="AF119" s="20" t="b">
        <f ca="1">Calc_Helper!O119</f>
        <v>1</v>
      </c>
      <c r="AG119" s="5">
        <f ca="1">IF(Calc_Helper!O119=TRUE(),1,0)</f>
        <v>1</v>
      </c>
      <c r="AH119" s="20" t="b">
        <f>Calc_Helper!P119</f>
        <v>1</v>
      </c>
      <c r="AI119" s="5">
        <f>IF(Calc_Helper!P119=TRUE(),1,0)</f>
        <v>1</v>
      </c>
      <c r="AJ119" s="20" t="b">
        <f ca="1">Calc_Helper!Q119</f>
        <v>1</v>
      </c>
      <c r="AK119" s="5">
        <f ca="1">IF(Calc_Helper!Q119=TRUE(),1,0)</f>
        <v>1</v>
      </c>
      <c r="AL119" s="20" t="b">
        <f ca="1">Calc_Helper!R119</f>
        <v>0</v>
      </c>
      <c r="AM119" s="5">
        <f ca="1">IF(Calc_Helper!R119=TRUE(),1,0)</f>
        <v>0</v>
      </c>
      <c r="AN119" s="5" t="str">
        <f>IF(Calc_Helper!S119="","Unknown",Calc_Helper!S119)</f>
        <v>N/A</v>
      </c>
      <c r="AO119" s="5">
        <f>IF(OR(Calc_Helper!S119="Healthy",Calc_Helper!S119="On Track"),1,0)</f>
        <v>0</v>
      </c>
      <c r="AP119" s="5" t="str">
        <f>IFERROR(IF(Calc_Helper!T119="","",Calc_Helper!T119),"")</f>
        <v/>
      </c>
      <c r="AQ119" s="5">
        <f>IF(Calc_Helper!T119=TRUE(),1,0)</f>
        <v>0</v>
      </c>
    </row>
    <row r="120" spans="1:43" x14ac:dyDescent="0.3">
      <c r="A120" s="2" t="str">
        <f>IF(Clean_Data!A120="","Unknown",Clean_Data!A120)</f>
        <v>TSK-0119</v>
      </c>
      <c r="B120" s="2" t="str">
        <f>IF(Clean_Data!B120="","Unknown",Clean_Data!B120)</f>
        <v>Website Redesign</v>
      </c>
      <c r="C120" s="2" t="str">
        <f>IF(Clean_Data!C120="","Unknown",Clean_Data!C120)</f>
        <v>Marketing</v>
      </c>
      <c r="D120" s="2" t="str">
        <f>IF(Clean_Data!D120="","Unknown",Clean_Data!D120)</f>
        <v>Vikram Singh</v>
      </c>
      <c r="E120" s="2" t="str">
        <f>IF(Clean_Data!E120="","Unknown",Clean_Data!E120)</f>
        <v>Tester</v>
      </c>
      <c r="F120" s="2" t="str">
        <f>IF(Clean_Data!F120="","Unknown",Clean_Data!F120)</f>
        <v>Critical</v>
      </c>
      <c r="G120" s="2" t="str">
        <f>IF(Clean_Data!G120="","Unknown",Clean_Data!G120)</f>
        <v>Development</v>
      </c>
      <c r="H120" s="2" t="str">
        <f>IF(Clean_Data!K120="","Unknown",Clean_Data!K120)</f>
        <v>Not Started</v>
      </c>
      <c r="I120" s="10">
        <f>Clean_Data!H120</f>
        <v>45631</v>
      </c>
      <c r="J120" s="10">
        <f>Clean_Data!I120</f>
        <v>45657</v>
      </c>
      <c r="K120" s="10" t="str">
        <f>Clean_Data!J120</f>
        <v/>
      </c>
      <c r="L120" s="2" t="str">
        <f>IF(Calc_Helper!I120="","Unknown",Calc_Helper!I120)</f>
        <v>2024-12</v>
      </c>
      <c r="M120" s="2" t="str">
        <f>IF(Calc_Helper!J120="","Unknown",Calc_Helper!J120)</f>
        <v>2024-12</v>
      </c>
      <c r="N120" s="19" t="str">
        <f>IF(Calc_Helper!K120="","",Calc_Helper!K120)</f>
        <v/>
      </c>
      <c r="O120" s="2">
        <f>IFERROR(Calc_Helper!L120,"")</f>
        <v>2024</v>
      </c>
      <c r="P120" s="2">
        <f>IFERROR(Calc_Helper!M120,"")</f>
        <v>12</v>
      </c>
      <c r="Q120" s="2" t="str">
        <f>IF(Calc_Helper!N120="","Unknown",Calc_Helper!N120)</f>
        <v>December</v>
      </c>
      <c r="R120" s="15">
        <f>IFERROR(IF(ISNUMBER(Clean_Data!L120),Clean_Data!L120,0),0)</f>
        <v>0</v>
      </c>
      <c r="S120" s="16">
        <f>IFERROR(IF(ISNUMBER(Clean_Data!M120),Clean_Data!M120,0),0)</f>
        <v>64.8</v>
      </c>
      <c r="T120" s="16">
        <f>IF(Clean_Data!N120="","",IFERROR(IF(ISNUMBER(Clean_Data!N120),Clean_Data!N120,""),""))</f>
        <v>0</v>
      </c>
      <c r="U120" s="16">
        <f>IFERROR(IF(ISNUMBER(Clean_Data!O120),Clean_Data!O120,0),0)</f>
        <v>-64.8</v>
      </c>
      <c r="V120" s="2">
        <f ca="1">IFERROR(IF(ISNUMBER(Calc_Helper!E120),Calc_Helper!E120,0),0)</f>
        <v>495</v>
      </c>
      <c r="W120" s="2">
        <f ca="1">IFERROR(IF(ISNUMBER(Calc_Helper!F120),Calc_Helper!F120,0),0)</f>
        <v>469</v>
      </c>
      <c r="X120" s="2">
        <f>IFERROR(IF(ISNUMBER(Calc_Helper!G120),Calc_Helper!G120,0),0)</f>
        <v>0</v>
      </c>
      <c r="Y120" s="2">
        <f ca="1">IFERROR(IF(ISNUMBER(Calc_Helper!H120),Calc_Helper!H120,0),0)</f>
        <v>495</v>
      </c>
      <c r="Z120" s="19" t="b">
        <f>Calc_Helper!B120</f>
        <v>0</v>
      </c>
      <c r="AA120" s="2">
        <f>IF(Calc_Helper!B120=TRUE(),1,0)</f>
        <v>0</v>
      </c>
      <c r="AB120" s="19" t="b">
        <f>Calc_Helper!C120</f>
        <v>1</v>
      </c>
      <c r="AC120" s="2">
        <f>IF(Calc_Helper!C120=TRUE(),1,0)</f>
        <v>1</v>
      </c>
      <c r="AD120" s="19" t="b">
        <f ca="1">Calc_Helper!D120</f>
        <v>1</v>
      </c>
      <c r="AE120" s="2">
        <f ca="1">IF(Calc_Helper!D120=TRUE(),1,0)</f>
        <v>1</v>
      </c>
      <c r="AF120" s="19" t="b">
        <f ca="1">Calc_Helper!O120</f>
        <v>1</v>
      </c>
      <c r="AG120" s="2">
        <f ca="1">IF(Calc_Helper!O120=TRUE(),1,0)</f>
        <v>1</v>
      </c>
      <c r="AH120" s="19" t="b">
        <f>Calc_Helper!P120</f>
        <v>1</v>
      </c>
      <c r="AI120" s="2">
        <f>IF(Calc_Helper!P120=TRUE(),1,0)</f>
        <v>1</v>
      </c>
      <c r="AJ120" s="19" t="b">
        <f ca="1">Calc_Helper!Q120</f>
        <v>1</v>
      </c>
      <c r="AK120" s="2">
        <f ca="1">IF(Calc_Helper!Q120=TRUE(),1,0)</f>
        <v>1</v>
      </c>
      <c r="AL120" s="19" t="b">
        <f ca="1">Calc_Helper!R120</f>
        <v>0</v>
      </c>
      <c r="AM120" s="2">
        <f ca="1">IF(Calc_Helper!R120=TRUE(),1,0)</f>
        <v>0</v>
      </c>
      <c r="AN120" s="2" t="str">
        <f>IF(Calc_Helper!S120="","Unknown",Calc_Helper!S120)</f>
        <v>N/A</v>
      </c>
      <c r="AO120" s="2">
        <f>IF(OR(Calc_Helper!S120="Healthy",Calc_Helper!S120="On Track"),1,0)</f>
        <v>0</v>
      </c>
      <c r="AP120" s="2" t="str">
        <f>IFERROR(IF(Calc_Helper!T120="","",Calc_Helper!T120),"")</f>
        <v/>
      </c>
      <c r="AQ120" s="2">
        <f>IF(Calc_Helper!T120=TRUE(),1,0)</f>
        <v>0</v>
      </c>
    </row>
    <row r="121" spans="1:43" x14ac:dyDescent="0.3">
      <c r="A121" s="5" t="str">
        <f>IF(Clean_Data!A121="","Unknown",Clean_Data!A121)</f>
        <v>TSK-0120</v>
      </c>
      <c r="B121" s="5" t="str">
        <f>IF(Clean_Data!B121="","Unknown",Clean_Data!B121)</f>
        <v>Marketing Campaign</v>
      </c>
      <c r="C121" s="5" t="str">
        <f>IF(Clean_Data!C121="","Unknown",Clean_Data!C121)</f>
        <v>HR</v>
      </c>
      <c r="D121" s="5" t="str">
        <f>IF(Clean_Data!D121="","Unknown",Clean_Data!D121)</f>
        <v>Amit Verma</v>
      </c>
      <c r="E121" s="5" t="str">
        <f>IF(Clean_Data!E121="","Unknown",Clean_Data!E121)</f>
        <v>Lead</v>
      </c>
      <c r="F121" s="5" t="str">
        <f>IF(Clean_Data!F121="","Unknown",Clean_Data!F121)</f>
        <v>Low</v>
      </c>
      <c r="G121" s="5" t="str">
        <f>IF(Clean_Data!G121="","Unknown",Clean_Data!G121)</f>
        <v>Deployment</v>
      </c>
      <c r="H121" s="5" t="str">
        <f>IF(Clean_Data!K121="","Unknown",Clean_Data!K121)</f>
        <v>Cancelled</v>
      </c>
      <c r="I121" s="13">
        <f>Clean_Data!H121</f>
        <v>45484</v>
      </c>
      <c r="J121" s="13">
        <f>Clean_Data!I121</f>
        <v>45540</v>
      </c>
      <c r="K121" s="13" t="str">
        <f>Clean_Data!J121</f>
        <v/>
      </c>
      <c r="L121" s="5" t="str">
        <f>IF(Calc_Helper!I121="","Unknown",Calc_Helper!I121)</f>
        <v>2024-09</v>
      </c>
      <c r="M121" s="5" t="str">
        <f>IF(Calc_Helper!J121="","Unknown",Calc_Helper!J121)</f>
        <v>2024-07</v>
      </c>
      <c r="N121" s="19" t="str">
        <f>IF(Calc_Helper!K121="","",Calc_Helper!K121)</f>
        <v/>
      </c>
      <c r="O121" s="5">
        <f>IFERROR(Calc_Helper!L121,"")</f>
        <v>2024</v>
      </c>
      <c r="P121" s="5">
        <f>IFERROR(Calc_Helper!M121,"")</f>
        <v>7</v>
      </c>
      <c r="Q121" s="5" t="str">
        <f>IF(Calc_Helper!N121="","Unknown",Calc_Helper!N121)</f>
        <v>July</v>
      </c>
      <c r="R121" s="17">
        <f>IFERROR(IF(ISNUMBER(Clean_Data!L121),Clean_Data!L121,0),0)</f>
        <v>0</v>
      </c>
      <c r="S121" s="18">
        <f>IFERROR(IF(ISNUMBER(Clean_Data!M121),Clean_Data!M121,0),0)</f>
        <v>64.900000000000006</v>
      </c>
      <c r="T121" s="16" t="str">
        <f>IF(Clean_Data!N121="","",IFERROR(IF(ISNUMBER(Clean_Data!N121),Clean_Data!N121,""),""))</f>
        <v/>
      </c>
      <c r="U121" s="18">
        <f>IFERROR(IF(ISNUMBER(Clean_Data!O121),Clean_Data!O121,0),0)</f>
        <v>0</v>
      </c>
      <c r="V121" s="5">
        <f ca="1">IFERROR(IF(ISNUMBER(Calc_Helper!E121),Calc_Helper!E121,0),0)</f>
        <v>0</v>
      </c>
      <c r="W121" s="5">
        <f ca="1">IFERROR(IF(ISNUMBER(Calc_Helper!F121),Calc_Helper!F121,0),0)</f>
        <v>0</v>
      </c>
      <c r="X121" s="5">
        <f>IFERROR(IF(ISNUMBER(Calc_Helper!G121),Calc_Helper!G121,0),0)</f>
        <v>0</v>
      </c>
      <c r="Y121" s="5">
        <f ca="1">IFERROR(IF(ISNUMBER(Calc_Helper!H121),Calc_Helper!H121,0),0)</f>
        <v>642</v>
      </c>
      <c r="Z121" s="20" t="b">
        <f>Calc_Helper!B121</f>
        <v>0</v>
      </c>
      <c r="AA121" s="5">
        <f>IF(Calc_Helper!B121=TRUE(),1,0)</f>
        <v>0</v>
      </c>
      <c r="AB121" s="20" t="b">
        <f>Calc_Helper!C121</f>
        <v>0</v>
      </c>
      <c r="AC121" s="5">
        <f>IF(Calc_Helper!C121=TRUE(),1,0)</f>
        <v>0</v>
      </c>
      <c r="AD121" s="20" t="b">
        <f ca="1">Calc_Helper!D121</f>
        <v>0</v>
      </c>
      <c r="AE121" s="5">
        <f ca="1">IF(Calc_Helper!D121=TRUE(),1,0)</f>
        <v>0</v>
      </c>
      <c r="AF121" s="20" t="b">
        <f ca="1">Calc_Helper!O121</f>
        <v>0</v>
      </c>
      <c r="AG121" s="5">
        <f ca="1">IF(Calc_Helper!O121=TRUE(),1,0)</f>
        <v>0</v>
      </c>
      <c r="AH121" s="20" t="b">
        <f>Calc_Helper!P121</f>
        <v>0</v>
      </c>
      <c r="AI121" s="5">
        <f>IF(Calc_Helper!P121=TRUE(),1,0)</f>
        <v>0</v>
      </c>
      <c r="AJ121" s="20" t="b">
        <f ca="1">Calc_Helper!Q121</f>
        <v>0</v>
      </c>
      <c r="AK121" s="5">
        <f ca="1">IF(Calc_Helper!Q121=TRUE(),1,0)</f>
        <v>0</v>
      </c>
      <c r="AL121" s="20" t="b">
        <f ca="1">Calc_Helper!R121</f>
        <v>0</v>
      </c>
      <c r="AM121" s="5">
        <f ca="1">IF(Calc_Helper!R121=TRUE(),1,0)</f>
        <v>0</v>
      </c>
      <c r="AN121" s="5" t="str">
        <f>IF(Calc_Helper!S121="","Unknown",Calc_Helper!S121)</f>
        <v>N/A</v>
      </c>
      <c r="AO121" s="5">
        <f>IF(OR(Calc_Helper!S121="Healthy",Calc_Helper!S121="On Track"),1,0)</f>
        <v>0</v>
      </c>
      <c r="AP121" s="5" t="str">
        <f>IFERROR(IF(Calc_Helper!T121="","",Calc_Helper!T121),"")</f>
        <v/>
      </c>
      <c r="AQ121" s="5">
        <f>IF(Calc_Helper!T121=TRUE(),1,0)</f>
        <v>0</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Lookup_Lists</vt:lpstr>
      <vt:lpstr>Clean_Data</vt:lpstr>
      <vt:lpstr>Calc_Helper</vt:lpstr>
      <vt:lpstr>Workload_Analysis</vt:lpstr>
      <vt:lpstr>KPI_Summary</vt:lpstr>
      <vt:lpstr>Pivot_Tables</vt:lpstr>
      <vt:lpstr>Dashboard</vt:lpstr>
      <vt:lpstr>Pivot_Analysis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Atishey</cp:lastModifiedBy>
  <cp:revision>0</cp:revision>
  <dcterms:created xsi:type="dcterms:W3CDTF">2026-04-13T15:06:10Z</dcterms:created>
  <dcterms:modified xsi:type="dcterms:W3CDTF">2026-04-13T20:01:08Z</dcterms:modified>
  <dc:language>en-US</dc:language>
</cp:coreProperties>
</file>